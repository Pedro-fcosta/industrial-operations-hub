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R:\Linha de Torres\13. TRANSFER - TORRE\PEDRO\1. PROJETOS PYTHON\HUB Torres\"/>
    </mc:Choice>
  </mc:AlternateContent>
  <xr:revisionPtr revIDLastSave="0" documentId="13_ncr:1_{1EFAB58E-6EDD-430C-AB7E-D60FB27769A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shboard" sheetId="1" r:id="rId1"/>
    <sheet name="Rastreabilidade" sheetId="2" r:id="rId2"/>
    <sheet name="Manutenção" sheetId="3" r:id="rId3"/>
    <sheet name="Espera Material" sheetId="4" r:id="rId4"/>
    <sheet name="Base_Posicoes" sheetId="18" r:id="rId5"/>
    <sheet name="Base_Movimentacoes" sheetId="11" r:id="rId6"/>
    <sheet name="Base_Manutencoes" sheetId="14" r:id="rId7"/>
    <sheet name="Base_EsperaMaterial" sheetId="13" r:id="rId8"/>
  </sheets>
  <definedNames>
    <definedName name="DadosExternos_2" localSheetId="5" hidden="1">Base_Movimentacoes!$A$1:$I$5</definedName>
    <definedName name="DadosExternos_3" localSheetId="4" hidden="1">Base_Posicoes!$A$1:$J$5</definedName>
    <definedName name="DadosExternos_4" localSheetId="7" hidden="1">Base_EsperaMaterial!$A$1:$O$7</definedName>
    <definedName name="DadosExternos_5" localSheetId="6" hidden="1">Base_Manutencoes!$A$1:$J$3</definedName>
  </definedNames>
  <calcPr calcId="191029"/>
  <pivotCaches>
    <pivotCache cacheId="569" r:id="rId9"/>
    <pivotCache cacheId="574" r:id="rId10"/>
    <pivotCache cacheId="579" r:id="rId11"/>
    <pivotCache cacheId="58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3" l="1"/>
  <c r="P3" i="13"/>
  <c r="P2" i="13"/>
  <c r="P7" i="13"/>
  <c r="P5" i="13"/>
  <c r="P6" i="13"/>
  <c r="AG5" i="1"/>
  <c r="AG4" i="1"/>
  <c r="AG3" i="1"/>
  <c r="AG2" i="1"/>
  <c r="AG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2EC5A-6C87-4AC7-AC03-ED9BAF3DF1F9}" keepAlive="1" name="Consulta - esperas_material" description="Conexão com a consulta 'esperas_material' na pasta de trabalho." type="5" refreshedVersion="8" background="1" saveData="1">
    <dbPr connection="Provider=Microsoft.Mashup.OleDb.1;Data Source=$Workbook$;Location=esperas_material;Extended Properties=&quot;&quot;" command="SELECT * FROM [esperas_material]"/>
  </connection>
  <connection id="2" xr16:uid="{654C442D-7F6A-4879-9EDA-B8263E3973E3}" keepAlive="1" name="Consulta - manutencoes" description="Conexão com a consulta 'manutencoes' na pasta de trabalho." type="5" refreshedVersion="8" background="1" saveData="1">
    <dbPr connection="Provider=Microsoft.Mashup.OleDb.1;Data Source=$Workbook$;Location=manutencoes;Extended Properties=&quot;&quot;" command="SELECT * FROM [manutencoes]"/>
  </connection>
  <connection id="3" xr16:uid="{74CE6B6F-4439-4DE9-BDD8-A4C159B0EA95}" keepAlive="1" name="Consulta - rastreabilidade_movimentacoes" description="Conexão com a consulta 'rastreabilidade_movimentacoes' na pasta de trabalho." type="5" refreshedVersion="8" background="1" saveData="1">
    <dbPr connection="Provider=Microsoft.Mashup.OleDb.1;Data Source=$Workbook$;Location=rastreabilidade_movimentacoes;Extended Properties=&quot;&quot;" command="SELECT * FROM [rastreabilidade_movimentacoes]"/>
  </connection>
  <connection id="4" xr16:uid="{B533B85A-E97A-402D-A14A-FE91983D98F0}" keepAlive="1" name="Consulta - rastreabilidade_posicoes" description="Conexão com a consulta 'rastreabilidade_posicoes' na pasta de trabalho." type="5" refreshedVersion="8" background="1" saveData="1">
    <dbPr connection="Provider=Microsoft.Mashup.OleDb.1;Data Source=$Workbook$;Location=rastreabilidade_posicoes;Extended Properties=&quot;&quot;" command="SELECT * FROM [rastreabilidade_posicoes]"/>
  </connection>
</connections>
</file>

<file path=xl/sharedStrings.xml><?xml version="1.0" encoding="utf-8"?>
<sst xmlns="http://schemas.openxmlformats.org/spreadsheetml/2006/main" count="238" uniqueCount="89">
  <si>
    <t>ID</t>
  </si>
  <si>
    <t>CR</t>
  </si>
  <si>
    <t>Posição</t>
  </si>
  <si>
    <t>Quantidade</t>
  </si>
  <si>
    <t>Local Atual</t>
  </si>
  <si>
    <t>Responsável</t>
  </si>
  <si>
    <t>Observação</t>
  </si>
  <si>
    <t>Data Cadastro</t>
  </si>
  <si>
    <t>Última Movimentação</t>
  </si>
  <si>
    <t>1302CD</t>
  </si>
  <si>
    <t>XCAA-100H</t>
  </si>
  <si>
    <t>Recorte</t>
  </si>
  <si>
    <t>Scila</t>
  </si>
  <si>
    <t/>
  </si>
  <si>
    <t>ID Movimentação</t>
  </si>
  <si>
    <t>ID Lote</t>
  </si>
  <si>
    <t>Origem</t>
  </si>
  <si>
    <t>Destino</t>
  </si>
  <si>
    <t>Data/Hora</t>
  </si>
  <si>
    <t>HP12-T4 Sul</t>
  </si>
  <si>
    <t>Máquina</t>
  </si>
  <si>
    <t>Tipo de Manutenção</t>
  </si>
  <si>
    <t>Descrição</t>
  </si>
  <si>
    <t>Status</t>
  </si>
  <si>
    <t>Data Registro</t>
  </si>
  <si>
    <t>Última Atualização</t>
  </si>
  <si>
    <t>P83</t>
  </si>
  <si>
    <t>Corretiva</t>
  </si>
  <si>
    <t>Quebrou a mangueira</t>
  </si>
  <si>
    <t>Priscila</t>
  </si>
  <si>
    <t>Parada</t>
  </si>
  <si>
    <t>XP12-T4</t>
  </si>
  <si>
    <t>Quebrou a pinça</t>
  </si>
  <si>
    <t>Pedro</t>
  </si>
  <si>
    <t>Concluída</t>
  </si>
  <si>
    <t>Tipo de Material</t>
  </si>
  <si>
    <t>Qualidade</t>
  </si>
  <si>
    <t>Medidas</t>
  </si>
  <si>
    <t>CR do Material</t>
  </si>
  <si>
    <t>Responsável Registro</t>
  </si>
  <si>
    <t>Observação Inicial</t>
  </si>
  <si>
    <t>Data Início</t>
  </si>
  <si>
    <t>Responsável Recebimento</t>
  </si>
  <si>
    <t>Observação Final</t>
  </si>
  <si>
    <t>Data Recebimento</t>
  </si>
  <si>
    <t>Tempo Total</t>
  </si>
  <si>
    <t>Cantoneira</t>
  </si>
  <si>
    <t>A572 GR50</t>
  </si>
  <si>
    <t>75x75x5</t>
  </si>
  <si>
    <t>Esperando material</t>
  </si>
  <si>
    <t>45x45x3</t>
  </si>
  <si>
    <t>DC12DL</t>
  </si>
  <si>
    <t>Wagner</t>
  </si>
  <si>
    <t>0h 1min</t>
  </si>
  <si>
    <t>Material recebido</t>
  </si>
  <si>
    <t>A36</t>
  </si>
  <si>
    <t>45x45x4</t>
  </si>
  <si>
    <t>132HD3</t>
  </si>
  <si>
    <t>0h 53min</t>
  </si>
  <si>
    <t>0h 6min</t>
  </si>
  <si>
    <t>DAP4-301H</t>
  </si>
  <si>
    <t>Lucas</t>
  </si>
  <si>
    <t>304DL</t>
  </si>
  <si>
    <t>DAP4-101H</t>
  </si>
  <si>
    <t>João</t>
  </si>
  <si>
    <t>HP16T6</t>
  </si>
  <si>
    <t>Rótulos de Linha</t>
  </si>
  <si>
    <t>Total Geral</t>
  </si>
  <si>
    <t>Contagem de ID</t>
  </si>
  <si>
    <t>Máquinas</t>
  </si>
  <si>
    <t>Tempo em Minutos</t>
  </si>
  <si>
    <t>Soma de Tempo em Minutos</t>
  </si>
  <si>
    <t>Média de Tempo em Minutos</t>
  </si>
  <si>
    <t>A572 GR60</t>
  </si>
  <si>
    <t>Terrablade</t>
  </si>
  <si>
    <t>Chapa</t>
  </si>
  <si>
    <t>12,5</t>
  </si>
  <si>
    <t>Soma de Quantidade</t>
  </si>
  <si>
    <t>Dobra</t>
  </si>
  <si>
    <t>Horas Sem movimentação</t>
  </si>
  <si>
    <t>Soma de Horas Sem movimentação</t>
  </si>
  <si>
    <t>Posições</t>
  </si>
  <si>
    <t>Dashboard HUB - Setor de Torres</t>
  </si>
  <si>
    <t>Visão geral operacional dos módulos do HUB</t>
  </si>
  <si>
    <t>Área de Embarque</t>
  </si>
  <si>
    <t xml:space="preserve">Movimentação parcial de 20 peça(s). Lote original permaneceu com 10 peça(s) em Dobra. Novo lote criado com ID 4. </t>
  </si>
  <si>
    <t>6h 45min</t>
  </si>
  <si>
    <t>6h 46min</t>
  </si>
  <si>
    <t>24h 33min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</si>
</sst>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sz val="36"/>
      <color theme="8" tint="-0.49998474074526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3F5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Font="1" applyBorder="1"/>
    <xf numFmtId="0" fontId="0" fillId="0" borderId="0" xfId="0" applyBorder="1"/>
    <xf numFmtId="0" fontId="0" fillId="0" borderId="0" xfId="0" applyFill="1"/>
    <xf numFmtId="0" fontId="1" fillId="0" borderId="0" xfId="0" applyFont="1" applyBorder="1"/>
    <xf numFmtId="14" fontId="0" fillId="0" borderId="0" xfId="0" applyNumberFormat="1" applyFont="1" applyBorder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3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por Local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Rastreabilidade!$L$1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Rastreabilidade!$K$2:$K$5</c:f>
              <c:strCache>
                <c:ptCount val="3"/>
                <c:pt idx="0">
                  <c:v>HP12-T4 Sul</c:v>
                </c:pt>
                <c:pt idx="1">
                  <c:v>Recorte</c:v>
                </c:pt>
                <c:pt idx="2">
                  <c:v>Dobra</c:v>
                </c:pt>
              </c:strCache>
            </c:strRef>
          </c:cat>
          <c:val>
            <c:numRef>
              <c:f>Rastreabilidade!$L$2:$L$5</c:f>
              <c:numCache>
                <c:formatCode>General</c:formatCode>
                <c:ptCount val="3"/>
                <c:pt idx="0">
                  <c:v>20</c:v>
                </c:pt>
                <c:pt idx="1">
                  <c:v>31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681-A31C-D4AE6B099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4305199"/>
        <c:axId val="651469439"/>
      </c:barChart>
      <c:catAx>
        <c:axId val="124430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469439"/>
        <c:crosses val="autoZero"/>
        <c:auto val="1"/>
        <c:lblAlgn val="ctr"/>
        <c:lblOffset val="100"/>
        <c:noMultiLvlLbl val="0"/>
      </c:catAx>
      <c:valAx>
        <c:axId val="651469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30519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Lotes</a:t>
            </a:r>
            <a:r>
              <a:rPr lang="pt-BR" baseline="0"/>
              <a:t> há mais tempo sem movimentação (horas)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Rastreabilidade!$B$18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Rastreabilidade!$A$19:$A$27</c:f>
              <c:multiLvlStrCache>
                <c:ptCount val="3"/>
                <c:lvl>
                  <c:pt idx="0">
                    <c:v>Dobra</c:v>
                  </c:pt>
                  <c:pt idx="1">
                    <c:v>Recorte</c:v>
                  </c:pt>
                  <c:pt idx="2">
                    <c:v>HP12-T4 Sul</c:v>
                  </c:pt>
                </c:lvl>
                <c:lvl>
                  <c:pt idx="0">
                    <c:v>DAP4-301H</c:v>
                  </c:pt>
                  <c:pt idx="1">
                    <c:v>XCAA-100H</c:v>
                  </c:pt>
                  <c:pt idx="2">
                    <c:v>DAP4-101H</c:v>
                  </c:pt>
                </c:lvl>
                <c:lvl>
                  <c:pt idx="0">
                    <c:v>1302CD</c:v>
                  </c:pt>
                  <c:pt idx="2">
                    <c:v>304DL</c:v>
                  </c:pt>
                </c:lvl>
              </c:multiLvlStrCache>
            </c:multiLvlStrRef>
          </c:cat>
          <c:val>
            <c:numRef>
              <c:f>Rastreabilidade!$B$19:$B$27</c:f>
              <c:numCache>
                <c:formatCode>General</c:formatCode>
                <c:ptCount val="3"/>
                <c:pt idx="0">
                  <c:v>30</c:v>
                </c:pt>
                <c:pt idx="1">
                  <c:v>31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3-43CE-A2CA-9EB02478ACE9}"/>
            </c:ext>
          </c:extLst>
        </c:ser>
        <c:ser>
          <c:idx val="1"/>
          <c:order val="1"/>
          <c:tx>
            <c:strRef>
              <c:f>Rastreabilidade!$C$18</c:f>
              <c:strCache>
                <c:ptCount val="1"/>
                <c:pt idx="0">
                  <c:v>Soma de Horas Sem movimentação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Rastreabilidade!$A$19:$A$27</c:f>
              <c:multiLvlStrCache>
                <c:ptCount val="3"/>
                <c:lvl>
                  <c:pt idx="0">
                    <c:v>Dobra</c:v>
                  </c:pt>
                  <c:pt idx="1">
                    <c:v>Recorte</c:v>
                  </c:pt>
                  <c:pt idx="2">
                    <c:v>HP12-T4 Sul</c:v>
                  </c:pt>
                </c:lvl>
                <c:lvl>
                  <c:pt idx="0">
                    <c:v>DAP4-301H</c:v>
                  </c:pt>
                  <c:pt idx="1">
                    <c:v>XCAA-100H</c:v>
                  </c:pt>
                  <c:pt idx="2">
                    <c:v>DAP4-101H</c:v>
                  </c:pt>
                </c:lvl>
                <c:lvl>
                  <c:pt idx="0">
                    <c:v>1302CD</c:v>
                  </c:pt>
                  <c:pt idx="2">
                    <c:v>304DL</c:v>
                  </c:pt>
                </c:lvl>
              </c:multiLvlStrCache>
            </c:multiLvlStrRef>
          </c:cat>
          <c:val>
            <c:numRef>
              <c:f>Rastreabilidade!$C$19:$C$27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3-43CE-A2CA-9EB02478AC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793999"/>
        <c:axId val="1214794479"/>
      </c:barChart>
      <c:catAx>
        <c:axId val="121479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94479"/>
        <c:crosses val="autoZero"/>
        <c:auto val="1"/>
        <c:lblAlgn val="ctr"/>
        <c:lblOffset val="100"/>
        <c:noMultiLvlLbl val="0"/>
      </c:catAx>
      <c:valAx>
        <c:axId val="121479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 tempo de espera de material por Máquina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Material'!$U$2:$U$5</c:f>
              <c:strCache>
                <c:ptCount val="3"/>
                <c:pt idx="0">
                  <c:v>HP12-T4 Sul</c:v>
                </c:pt>
                <c:pt idx="1">
                  <c:v>XP12-T4</c:v>
                </c:pt>
                <c:pt idx="2">
                  <c:v>Terrablade</c:v>
                </c:pt>
              </c:strCache>
            </c:strRef>
          </c:cat>
          <c:val>
            <c:numRef>
              <c:f>'Espera Material'!$V$2:$V$5</c:f>
              <c:numCache>
                <c:formatCode>General</c:formatCode>
                <c:ptCount val="3"/>
                <c:pt idx="0">
                  <c:v>926</c:v>
                </c:pt>
                <c:pt idx="1">
                  <c:v>20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8-4616-B8E1-6CA9A3979D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6906799"/>
        <c:axId val="626904879"/>
      </c:barChart>
      <c:catAx>
        <c:axId val="626906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904879"/>
        <c:crosses val="autoZero"/>
        <c:auto val="1"/>
        <c:lblAlgn val="ctr"/>
        <c:lblOffset val="100"/>
        <c:noMultiLvlLbl val="0"/>
      </c:catAx>
      <c:valAx>
        <c:axId val="62690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90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[Dashboard_HUB_Torres.xlsx]Manutenção!Tabela dinâmica10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Manutenção total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Manutenção!$L$1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Manutenção!$K$2:$K$4</c:f>
              <c:strCache>
                <c:ptCount val="2"/>
                <c:pt idx="0">
                  <c:v>P83</c:v>
                </c:pt>
                <c:pt idx="1">
                  <c:v>XP12-T4</c:v>
                </c:pt>
              </c:strCache>
            </c:strRef>
          </c:cat>
          <c:val>
            <c:numRef>
              <c:f>Manutenção!$L$2:$L$4</c:f>
              <c:numCache>
                <c:formatCode>General</c:formatCode>
                <c:ptCount val="2"/>
                <c:pt idx="0">
                  <c:v>1451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3-44EC-9D09-5E1A355C43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772879"/>
        <c:axId val="1214789679"/>
      </c:barChart>
      <c:catAx>
        <c:axId val="12147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89679"/>
        <c:crosses val="autoZero"/>
        <c:auto val="1"/>
        <c:lblAlgn val="ctr"/>
        <c:lblOffset val="100"/>
        <c:noMultiLvlLbl val="0"/>
      </c:catAx>
      <c:valAx>
        <c:axId val="121478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7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de espera Total x Máquina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Material'!$K$2:$K$5</c:f>
              <c:strCache>
                <c:ptCount val="3"/>
                <c:pt idx="0">
                  <c:v>HP12-T4 Sul</c:v>
                </c:pt>
                <c:pt idx="1">
                  <c:v>XP12-T4</c:v>
                </c:pt>
                <c:pt idx="2">
                  <c:v>Terrablade</c:v>
                </c:pt>
              </c:strCache>
            </c:strRef>
          </c:cat>
          <c:val>
            <c:numRef>
              <c:f>'Espera Material'!$L$2:$L$5</c:f>
              <c:numCache>
                <c:formatCode>General</c:formatCode>
                <c:ptCount val="3"/>
                <c:pt idx="0">
                  <c:v>1852</c:v>
                </c:pt>
                <c:pt idx="1">
                  <c:v>60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E-41AA-A650-23A85EBA1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9794271"/>
        <c:axId val="1219793791"/>
      </c:barChart>
      <c:catAx>
        <c:axId val="121979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93791"/>
        <c:crosses val="autoZero"/>
        <c:auto val="1"/>
        <c:lblAlgn val="ctr"/>
        <c:lblOffset val="100"/>
        <c:noMultiLvlLbl val="0"/>
      </c:catAx>
      <c:valAx>
        <c:axId val="121979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9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Lotes por Local Atual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Rastreabilidade!$B$1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Rastreabilidade!$A$2:$A$5</c:f>
              <c:strCache>
                <c:ptCount val="3"/>
                <c:pt idx="0">
                  <c:v>HP12-T4 Sul</c:v>
                </c:pt>
                <c:pt idx="1">
                  <c:v>Recorte</c:v>
                </c:pt>
                <c:pt idx="2">
                  <c:v>Dobra</c:v>
                </c:pt>
              </c:strCache>
            </c:strRef>
          </c:cat>
          <c:val>
            <c:numRef>
              <c:f>Rastreabilidade!$B$2:$B$5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4-4E56-B096-B597FC7A45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757999"/>
        <c:axId val="1214741679"/>
      </c:barChart>
      <c:catAx>
        <c:axId val="121475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41679"/>
        <c:crosses val="autoZero"/>
        <c:auto val="1"/>
        <c:lblAlgn val="ctr"/>
        <c:lblOffset val="100"/>
        <c:noMultiLvlLbl val="0"/>
      </c:catAx>
      <c:valAx>
        <c:axId val="121474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5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por Local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Rastreabilidade!$L$1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Rastreabilidade!$K$2:$K$5</c:f>
              <c:strCache>
                <c:ptCount val="3"/>
                <c:pt idx="0">
                  <c:v>HP12-T4 Sul</c:v>
                </c:pt>
                <c:pt idx="1">
                  <c:v>Recorte</c:v>
                </c:pt>
                <c:pt idx="2">
                  <c:v>Dobra</c:v>
                </c:pt>
              </c:strCache>
            </c:strRef>
          </c:cat>
          <c:val>
            <c:numRef>
              <c:f>Rastreabilidade!$L$2:$L$5</c:f>
              <c:numCache>
                <c:formatCode>General</c:formatCode>
                <c:ptCount val="3"/>
                <c:pt idx="0">
                  <c:v>20</c:v>
                </c:pt>
                <c:pt idx="1">
                  <c:v>31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4-46FC-9395-0330A34062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4305199"/>
        <c:axId val="651469439"/>
      </c:barChart>
      <c:catAx>
        <c:axId val="124430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469439"/>
        <c:crosses val="autoZero"/>
        <c:auto val="1"/>
        <c:lblAlgn val="ctr"/>
        <c:lblOffset val="100"/>
        <c:noMultiLvlLbl val="0"/>
      </c:catAx>
      <c:valAx>
        <c:axId val="6514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30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Rastreabilidade!$V$1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Rastreabilidade!$U$2:$U$4</c:f>
              <c:strCache>
                <c:ptCount val="2"/>
                <c:pt idx="0">
                  <c:v>João</c:v>
                </c:pt>
                <c:pt idx="1">
                  <c:v>Scila</c:v>
                </c:pt>
              </c:strCache>
            </c:strRef>
          </c:cat>
          <c:val>
            <c:numRef>
              <c:f>Rastreabilidade!$V$2:$V$4</c:f>
              <c:numCache>
                <c:formatCode>General</c:formatCode>
                <c:ptCount val="2"/>
                <c:pt idx="0">
                  <c:v>20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C-4D94-870F-58AF703C2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220223"/>
        <c:axId val="620345647"/>
      </c:barChart>
      <c:catAx>
        <c:axId val="121822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45647"/>
        <c:crosses val="autoZero"/>
        <c:auto val="1"/>
        <c:lblAlgn val="ctr"/>
        <c:lblOffset val="100"/>
        <c:noMultiLvlLbl val="0"/>
      </c:catAx>
      <c:valAx>
        <c:axId val="62034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22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[Dashboard_HUB_Torres.xlsx]Rastreabilidade!Tabela dinâmica21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Lotes</a:t>
            </a:r>
            <a:r>
              <a:rPr lang="pt-BR" baseline="0"/>
              <a:t> há mais tempo sem movimentação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Rastreabilidade!$B$18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Rastreabilidade!$A$19:$A$27</c:f>
              <c:multiLvlStrCache>
                <c:ptCount val="3"/>
                <c:lvl>
                  <c:pt idx="0">
                    <c:v>Dobra</c:v>
                  </c:pt>
                  <c:pt idx="1">
                    <c:v>Recorte</c:v>
                  </c:pt>
                  <c:pt idx="2">
                    <c:v>HP12-T4 Sul</c:v>
                  </c:pt>
                </c:lvl>
                <c:lvl>
                  <c:pt idx="0">
                    <c:v>DAP4-301H</c:v>
                  </c:pt>
                  <c:pt idx="1">
                    <c:v>XCAA-100H</c:v>
                  </c:pt>
                  <c:pt idx="2">
                    <c:v>DAP4-101H</c:v>
                  </c:pt>
                </c:lvl>
                <c:lvl>
                  <c:pt idx="0">
                    <c:v>1302CD</c:v>
                  </c:pt>
                  <c:pt idx="2">
                    <c:v>304DL</c:v>
                  </c:pt>
                </c:lvl>
              </c:multiLvlStrCache>
            </c:multiLvlStrRef>
          </c:cat>
          <c:val>
            <c:numRef>
              <c:f>Rastreabilidade!$B$19:$B$27</c:f>
              <c:numCache>
                <c:formatCode>General</c:formatCode>
                <c:ptCount val="3"/>
                <c:pt idx="0">
                  <c:v>30</c:v>
                </c:pt>
                <c:pt idx="1">
                  <c:v>31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3E5-A2CC-025CEAA3B6BE}"/>
            </c:ext>
          </c:extLst>
        </c:ser>
        <c:ser>
          <c:idx val="1"/>
          <c:order val="1"/>
          <c:tx>
            <c:strRef>
              <c:f>Rastreabilidade!$C$18</c:f>
              <c:strCache>
                <c:ptCount val="1"/>
                <c:pt idx="0">
                  <c:v>Soma de Horas Sem movimentação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Rastreabilidade!$A$19:$A$27</c:f>
              <c:multiLvlStrCache>
                <c:ptCount val="3"/>
                <c:lvl>
                  <c:pt idx="0">
                    <c:v>Dobra</c:v>
                  </c:pt>
                  <c:pt idx="1">
                    <c:v>Recorte</c:v>
                  </c:pt>
                  <c:pt idx="2">
                    <c:v>HP12-T4 Sul</c:v>
                  </c:pt>
                </c:lvl>
                <c:lvl>
                  <c:pt idx="0">
                    <c:v>DAP4-301H</c:v>
                  </c:pt>
                  <c:pt idx="1">
                    <c:v>XCAA-100H</c:v>
                  </c:pt>
                  <c:pt idx="2">
                    <c:v>DAP4-101H</c:v>
                  </c:pt>
                </c:lvl>
                <c:lvl>
                  <c:pt idx="0">
                    <c:v>1302CD</c:v>
                  </c:pt>
                  <c:pt idx="2">
                    <c:v>304DL</c:v>
                  </c:pt>
                </c:lvl>
              </c:multiLvlStrCache>
            </c:multiLvlStrRef>
          </c:cat>
          <c:val>
            <c:numRef>
              <c:f>Rastreabilidade!$C$19:$C$27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9-43E5-A2CC-025CEAA3B6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793999"/>
        <c:axId val="1214794479"/>
      </c:barChart>
      <c:catAx>
        <c:axId val="121479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94479"/>
        <c:crosses val="autoZero"/>
        <c:auto val="1"/>
        <c:lblAlgn val="ctr"/>
        <c:lblOffset val="100"/>
        <c:noMultiLvlLbl val="0"/>
      </c:catAx>
      <c:valAx>
        <c:axId val="12147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9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[Dashboard_HUB_Torres.xlsx]Manutenção!Tabela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Manutenções totais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Manutenção!$B$1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Manutenção!$A$2:$A$4</c:f>
              <c:strCache>
                <c:ptCount val="2"/>
                <c:pt idx="0">
                  <c:v>Concluída</c:v>
                </c:pt>
                <c:pt idx="1">
                  <c:v>Parada</c:v>
                </c:pt>
              </c:strCache>
            </c:strRef>
          </c:cat>
          <c:val>
            <c:numRef>
              <c:f>Manutenção!$B$2:$B$4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B-4713-B1A2-8CE3880A9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7596767"/>
        <c:axId val="797595327"/>
      </c:barChart>
      <c:catAx>
        <c:axId val="7975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595327"/>
        <c:crosses val="autoZero"/>
        <c:auto val="1"/>
        <c:lblAlgn val="ctr"/>
        <c:lblOffset val="100"/>
        <c:noMultiLvlLbl val="0"/>
      </c:catAx>
      <c:valAx>
        <c:axId val="7975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5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[Dashboard_HUB_Torres.xlsx]Manutenção!Tabela dinâmica10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Manutenção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Manutenção!$L$1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Manutenção!$K$2:$K$4</c:f>
              <c:strCache>
                <c:ptCount val="2"/>
                <c:pt idx="0">
                  <c:v>P83</c:v>
                </c:pt>
                <c:pt idx="1">
                  <c:v>XP12-T4</c:v>
                </c:pt>
              </c:strCache>
            </c:strRef>
          </c:cat>
          <c:val>
            <c:numRef>
              <c:f>Manutenção!$L$2:$L$4</c:f>
              <c:numCache>
                <c:formatCode>General</c:formatCode>
                <c:ptCount val="2"/>
                <c:pt idx="0">
                  <c:v>1451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0-4BF9-972E-043E22162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772879"/>
        <c:axId val="1214789679"/>
      </c:barChart>
      <c:catAx>
        <c:axId val="12147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89679"/>
        <c:crosses val="autoZero"/>
        <c:auto val="1"/>
        <c:lblAlgn val="ctr"/>
        <c:lblOffset val="100"/>
        <c:noMultiLvlLbl val="0"/>
      </c:catAx>
      <c:valAx>
        <c:axId val="12147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[Dashboard_HUB_Torres.xlsx]Manutenção!Tabela dinâmica11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 de Manutenção</a:t>
            </a:r>
            <a:r>
              <a:rPr lang="pt-BR" baseline="0"/>
              <a:t> x</a:t>
            </a:r>
            <a:r>
              <a:rPr lang="pt-BR"/>
              <a:t> Máquina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Manutenção!$V$1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Manutenção!$U$2:$U$4</c:f>
              <c:strCache>
                <c:ptCount val="2"/>
                <c:pt idx="0">
                  <c:v>P83</c:v>
                </c:pt>
                <c:pt idx="1">
                  <c:v>XP12-T4</c:v>
                </c:pt>
              </c:strCache>
            </c:strRef>
          </c:cat>
          <c:val>
            <c:numRef>
              <c:f>Manutenção!$V$2:$V$4</c:f>
              <c:numCache>
                <c:formatCode>General</c:formatCode>
                <c:ptCount val="2"/>
                <c:pt idx="0">
                  <c:v>1451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5-4809-88E3-286016899D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1149807"/>
        <c:axId val="651150287"/>
      </c:barChart>
      <c:catAx>
        <c:axId val="65114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150287"/>
        <c:crosses val="autoZero"/>
        <c:auto val="1"/>
        <c:lblAlgn val="ctr"/>
        <c:lblOffset val="100"/>
        <c:noMultiLvlLbl val="0"/>
      </c:catAx>
      <c:valAx>
        <c:axId val="65115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14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Esperas de Material por Máquina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Material'!$A$2:$A$5</c:f>
              <c:strCache>
                <c:ptCount val="3"/>
                <c:pt idx="0">
                  <c:v>HP12-T4 Sul</c:v>
                </c:pt>
                <c:pt idx="1">
                  <c:v>XP12-T4</c:v>
                </c:pt>
                <c:pt idx="2">
                  <c:v>Terrablade</c:v>
                </c:pt>
              </c:strCache>
            </c:strRef>
          </c:cat>
          <c:val>
            <c:numRef>
              <c:f>'Espera Material'!$B$2:$B$5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4-4202-8146-41AD94F665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4776239"/>
        <c:axId val="1214782959"/>
      </c:barChart>
      <c:catAx>
        <c:axId val="121477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82959"/>
        <c:crosses val="autoZero"/>
        <c:auto val="1"/>
        <c:lblAlgn val="ctr"/>
        <c:lblOffset val="100"/>
        <c:noMultiLvlLbl val="0"/>
      </c:catAx>
      <c:valAx>
        <c:axId val="121478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7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de espera Total x Máquina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Material'!$K$2:$K$5</c:f>
              <c:strCache>
                <c:ptCount val="3"/>
                <c:pt idx="0">
                  <c:v>HP12-T4 Sul</c:v>
                </c:pt>
                <c:pt idx="1">
                  <c:v>XP12-T4</c:v>
                </c:pt>
                <c:pt idx="2">
                  <c:v>Terrablade</c:v>
                </c:pt>
              </c:strCache>
            </c:strRef>
          </c:cat>
          <c:val>
            <c:numRef>
              <c:f>'Espera Material'!$L$2:$L$5</c:f>
              <c:numCache>
                <c:formatCode>General</c:formatCode>
                <c:ptCount val="3"/>
                <c:pt idx="0">
                  <c:v>1852</c:v>
                </c:pt>
                <c:pt idx="1">
                  <c:v>60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1-488D-B243-F9AB84F9A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9794271"/>
        <c:axId val="1219793791"/>
      </c:barChart>
      <c:catAx>
        <c:axId val="121979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93791"/>
        <c:crosses val="autoZero"/>
        <c:auto val="1"/>
        <c:lblAlgn val="ctr"/>
        <c:lblOffset val="100"/>
        <c:noMultiLvlLbl val="0"/>
      </c:catAx>
      <c:valAx>
        <c:axId val="121979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9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 tempo x Máquina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Material'!$U$2:$U$5</c:f>
              <c:strCache>
                <c:ptCount val="3"/>
                <c:pt idx="0">
                  <c:v>HP12-T4 Sul</c:v>
                </c:pt>
                <c:pt idx="1">
                  <c:v>XP12-T4</c:v>
                </c:pt>
                <c:pt idx="2">
                  <c:v>Terrablade</c:v>
                </c:pt>
              </c:strCache>
            </c:strRef>
          </c:cat>
          <c:val>
            <c:numRef>
              <c:f>'Espera Material'!$V$2:$V$5</c:f>
              <c:numCache>
                <c:formatCode>General</c:formatCode>
                <c:ptCount val="3"/>
                <c:pt idx="0">
                  <c:v>926</c:v>
                </c:pt>
                <c:pt idx="1">
                  <c:v>20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B-41AE-93C9-D60EAD718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6906799"/>
        <c:axId val="626904879"/>
      </c:barChart>
      <c:catAx>
        <c:axId val="62690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904879"/>
        <c:crosses val="autoZero"/>
        <c:auto val="1"/>
        <c:lblAlgn val="ctr"/>
        <c:lblOffset val="100"/>
        <c:noMultiLvlLbl val="0"/>
      </c:catAx>
      <c:valAx>
        <c:axId val="62690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90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[Dashboard_HUB_Torres.xlsx]Espera Material!Tabela dinâmica9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'Espera Material'!$B$18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'Espera Material'!$A$19:$A$21</c:f>
              <c:strCache>
                <c:ptCount val="2"/>
                <c:pt idx="0">
                  <c:v>HP12-T4 Sul</c:v>
                </c:pt>
                <c:pt idx="1">
                  <c:v>Terrablade</c:v>
                </c:pt>
              </c:strCache>
            </c:strRef>
          </c:cat>
          <c:val>
            <c:numRef>
              <c:f>'Espera Material'!$B$19:$B$21</c:f>
              <c:numCache>
                <c:formatCode>General</c:formatCode>
                <c:ptCount val="2"/>
                <c:pt idx="0">
                  <c:v>1852</c:v>
                </c:pt>
                <c:pt idx="1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B-4B3D-B323-6719B460AE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3406495"/>
        <c:axId val="613404575"/>
      </c:barChart>
      <c:catAx>
        <c:axId val="613406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404575"/>
        <c:crosses val="autoZero"/>
        <c:auto val="1"/>
        <c:lblAlgn val="ctr"/>
        <c:lblOffset val="100"/>
        <c:noMultiLvlLbl val="0"/>
      </c:catAx>
      <c:valAx>
        <c:axId val="6134045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40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7.png"/><Relationship Id="rId5" Type="http://schemas.openxmlformats.org/officeDocument/2006/relationships/image" Target="../media/image5.png"/><Relationship Id="rId10" Type="http://schemas.openxmlformats.org/officeDocument/2006/relationships/image" Target="../media/image6.png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181689</xdr:colOff>
      <xdr:row>4</xdr:row>
      <xdr:rowOff>150235</xdr:rowOff>
    </xdr:from>
    <xdr:to>
      <xdr:col>28</xdr:col>
      <xdr:colOff>418386</xdr:colOff>
      <xdr:row>12</xdr:row>
      <xdr:rowOff>9525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6C4BE7C-AA47-449B-A829-D0D2E27E574E}"/>
            </a:ext>
          </a:extLst>
        </xdr:cNvPr>
        <xdr:cNvSpPr>
          <a:spLocks/>
        </xdr:cNvSpPr>
      </xdr:nvSpPr>
      <xdr:spPr>
        <a:xfrm>
          <a:off x="14202489" y="912235"/>
          <a:ext cx="3284697" cy="138329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600" b="1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Máquinas Críticas</a:t>
          </a:r>
        </a:p>
      </xdr:txBody>
    </xdr:sp>
    <xdr:clientData/>
  </xdr:twoCellAnchor>
  <xdr:twoCellAnchor>
    <xdr:from>
      <xdr:col>17</xdr:col>
      <xdr:colOff>334089</xdr:colOff>
      <xdr:row>4</xdr:row>
      <xdr:rowOff>150235</xdr:rowOff>
    </xdr:from>
    <xdr:to>
      <xdr:col>22</xdr:col>
      <xdr:colOff>570786</xdr:colOff>
      <xdr:row>12</xdr:row>
      <xdr:rowOff>9525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485818D4-450E-484E-991A-05505C9A8AE3}"/>
            </a:ext>
          </a:extLst>
        </xdr:cNvPr>
        <xdr:cNvSpPr>
          <a:spLocks/>
        </xdr:cNvSpPr>
      </xdr:nvSpPr>
      <xdr:spPr>
        <a:xfrm>
          <a:off x="10697289" y="912235"/>
          <a:ext cx="3284697" cy="138329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600" b="1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Esperas Ativas</a:t>
          </a:r>
        </a:p>
      </xdr:txBody>
    </xdr:sp>
    <xdr:clientData/>
  </xdr:twoCellAnchor>
  <xdr:twoCellAnchor>
    <xdr:from>
      <xdr:col>11</xdr:col>
      <xdr:colOff>476964</xdr:colOff>
      <xdr:row>4</xdr:row>
      <xdr:rowOff>150235</xdr:rowOff>
    </xdr:from>
    <xdr:to>
      <xdr:col>17</xdr:col>
      <xdr:colOff>104061</xdr:colOff>
      <xdr:row>12</xdr:row>
      <xdr:rowOff>9525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227E956-0600-4355-8C02-88DB0A26EE2A}"/>
            </a:ext>
          </a:extLst>
        </xdr:cNvPr>
        <xdr:cNvSpPr>
          <a:spLocks/>
        </xdr:cNvSpPr>
      </xdr:nvSpPr>
      <xdr:spPr>
        <a:xfrm>
          <a:off x="7182564" y="912235"/>
          <a:ext cx="3284697" cy="138329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600" b="1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Manutenções</a:t>
          </a:r>
          <a:r>
            <a:rPr lang="pt-BR" sz="1600" b="1" baseline="0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 Ativas</a:t>
          </a:r>
        </a:p>
      </xdr:txBody>
    </xdr:sp>
    <xdr:clientData/>
  </xdr:twoCellAnchor>
  <xdr:twoCellAnchor>
    <xdr:from>
      <xdr:col>6</xdr:col>
      <xdr:colOff>714</xdr:colOff>
      <xdr:row>4</xdr:row>
      <xdr:rowOff>150235</xdr:rowOff>
    </xdr:from>
    <xdr:to>
      <xdr:col>11</xdr:col>
      <xdr:colOff>237411</xdr:colOff>
      <xdr:row>12</xdr:row>
      <xdr:rowOff>9525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82C9E9C3-23CF-439D-8A66-3E1063EED5A9}"/>
            </a:ext>
          </a:extLst>
        </xdr:cNvPr>
        <xdr:cNvSpPr>
          <a:spLocks/>
        </xdr:cNvSpPr>
      </xdr:nvSpPr>
      <xdr:spPr>
        <a:xfrm>
          <a:off x="3658314" y="912235"/>
          <a:ext cx="3284697" cy="138329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r>
            <a:rPr lang="pt-BR" sz="1600" b="1" baseline="0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Peças para Embarque</a:t>
          </a:r>
        </a:p>
      </xdr:txBody>
    </xdr:sp>
    <xdr:clientData/>
  </xdr:twoCellAnchor>
  <xdr:twoCellAnchor>
    <xdr:from>
      <xdr:col>0</xdr:col>
      <xdr:colOff>115014</xdr:colOff>
      <xdr:row>4</xdr:row>
      <xdr:rowOff>150235</xdr:rowOff>
    </xdr:from>
    <xdr:to>
      <xdr:col>5</xdr:col>
      <xdr:colOff>351711</xdr:colOff>
      <xdr:row>12</xdr:row>
      <xdr:rowOff>9525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65477265-D4D0-4C30-8162-1E4BEE14E9A9}"/>
            </a:ext>
          </a:extLst>
        </xdr:cNvPr>
        <xdr:cNvSpPr>
          <a:spLocks/>
        </xdr:cNvSpPr>
      </xdr:nvSpPr>
      <xdr:spPr>
        <a:xfrm>
          <a:off x="115014" y="912235"/>
          <a:ext cx="3284697" cy="138329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600" b="1" baseline="0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Peças na Fábrica</a:t>
          </a:r>
        </a:p>
      </xdr:txBody>
    </xdr:sp>
    <xdr:clientData/>
  </xdr:twoCellAnchor>
  <xdr:twoCellAnchor editAs="oneCell">
    <xdr:from>
      <xdr:col>0</xdr:col>
      <xdr:colOff>238124</xdr:colOff>
      <xdr:row>6</xdr:row>
      <xdr:rowOff>104774</xdr:rowOff>
    </xdr:from>
    <xdr:to>
      <xdr:col>1</xdr:col>
      <xdr:colOff>419100</xdr:colOff>
      <xdr:row>10</xdr:row>
      <xdr:rowOff>133350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F87808B-31F8-9B0D-3147-63B8AE91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1247774"/>
          <a:ext cx="790576" cy="7905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</xdr:row>
      <xdr:rowOff>66675</xdr:rowOff>
    </xdr:from>
    <xdr:to>
      <xdr:col>7</xdr:col>
      <xdr:colOff>533401</xdr:colOff>
      <xdr:row>11</xdr:row>
      <xdr:rowOff>114301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FA83F2F6-EF68-A6BC-E0E4-284C2716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75" y="1209675"/>
          <a:ext cx="1000126" cy="1000126"/>
        </a:xfrm>
        <a:prstGeom prst="rect">
          <a:avLst/>
        </a:prstGeom>
      </xdr:spPr>
    </xdr:pic>
    <xdr:clientData/>
  </xdr:twoCellAnchor>
  <xdr:twoCellAnchor editAs="oneCell">
    <xdr:from>
      <xdr:col>12</xdr:col>
      <xdr:colOff>14200</xdr:colOff>
      <xdr:row>6</xdr:row>
      <xdr:rowOff>161926</xdr:rowOff>
    </xdr:from>
    <xdr:to>
      <xdr:col>13</xdr:col>
      <xdr:colOff>260120</xdr:colOff>
      <xdr:row>11</xdr:row>
      <xdr:rowOff>9526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0AA3D94-CA49-A5E5-70B6-2A52EA31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29400" y="1304926"/>
          <a:ext cx="855520" cy="800100"/>
        </a:xfrm>
        <a:prstGeom prst="rect">
          <a:avLst/>
        </a:prstGeom>
      </xdr:spPr>
    </xdr:pic>
    <xdr:clientData/>
  </xdr:twoCellAnchor>
  <xdr:twoCellAnchor editAs="oneCell">
    <xdr:from>
      <xdr:col>17</xdr:col>
      <xdr:colOff>504825</xdr:colOff>
      <xdr:row>6</xdr:row>
      <xdr:rowOff>152400</xdr:rowOff>
    </xdr:from>
    <xdr:to>
      <xdr:col>19</xdr:col>
      <xdr:colOff>152400</xdr:colOff>
      <xdr:row>11</xdr:row>
      <xdr:rowOff>66675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325FC8FF-7E14-FB08-3253-3DB731F4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5" y="1295400"/>
          <a:ext cx="866775" cy="866775"/>
        </a:xfrm>
        <a:prstGeom prst="rect">
          <a:avLst/>
        </a:prstGeom>
      </xdr:spPr>
    </xdr:pic>
    <xdr:clientData/>
  </xdr:twoCellAnchor>
  <xdr:twoCellAnchor editAs="oneCell">
    <xdr:from>
      <xdr:col>23</xdr:col>
      <xdr:colOff>276224</xdr:colOff>
      <xdr:row>6</xdr:row>
      <xdr:rowOff>47624</xdr:rowOff>
    </xdr:from>
    <xdr:to>
      <xdr:col>25</xdr:col>
      <xdr:colOff>47625</xdr:colOff>
      <xdr:row>11</xdr:row>
      <xdr:rowOff>85725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2D0FF27-6235-B6F4-9829-B6CBA3A68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024" y="1190624"/>
          <a:ext cx="990601" cy="990601"/>
        </a:xfrm>
        <a:prstGeom prst="rect">
          <a:avLst/>
        </a:prstGeom>
      </xdr:spPr>
    </xdr:pic>
    <xdr:clientData/>
  </xdr:twoCellAnchor>
  <xdr:twoCellAnchor>
    <xdr:from>
      <xdr:col>3</xdr:col>
      <xdr:colOff>114301</xdr:colOff>
      <xdr:row>6</xdr:row>
      <xdr:rowOff>180974</xdr:rowOff>
    </xdr:from>
    <xdr:to>
      <xdr:col>5</xdr:col>
      <xdr:colOff>361951</xdr:colOff>
      <xdr:row>10</xdr:row>
      <xdr:rowOff>133349</xdr:rowOff>
    </xdr:to>
    <xdr:sp macro="" textlink="$AG$1">
      <xdr:nvSpPr>
        <xdr:cNvPr id="25" name="CaixaDeTexto 24">
          <a:extLst>
            <a:ext uri="{FF2B5EF4-FFF2-40B4-BE49-F238E27FC236}">
              <a16:creationId xmlns:a16="http://schemas.microsoft.com/office/drawing/2014/main" id="{D88ACD68-DCA1-E9DD-4F84-A57CA701D914}"/>
            </a:ext>
          </a:extLst>
        </xdr:cNvPr>
        <xdr:cNvSpPr txBox="1"/>
      </xdr:nvSpPr>
      <xdr:spPr>
        <a:xfrm>
          <a:off x="1943101" y="1323974"/>
          <a:ext cx="1466850" cy="714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BA601C4-F79D-44CE-A15B-E2C9E601F828}" type="TxLink">
            <a:rPr lang="en-US" sz="4000" b="1" i="0" u="none" strike="noStrike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t>81</a:t>
          </a:fld>
          <a:endParaRPr lang="pt-BR" sz="4000" b="1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600076</xdr:colOff>
      <xdr:row>6</xdr:row>
      <xdr:rowOff>180974</xdr:rowOff>
    </xdr:from>
    <xdr:to>
      <xdr:col>11</xdr:col>
      <xdr:colOff>238126</xdr:colOff>
      <xdr:row>10</xdr:row>
      <xdr:rowOff>133349</xdr:rowOff>
    </xdr:to>
    <xdr:sp macro="" textlink="$AG$2">
      <xdr:nvSpPr>
        <xdr:cNvPr id="26" name="CaixaDeTexto 25">
          <a:extLst>
            <a:ext uri="{FF2B5EF4-FFF2-40B4-BE49-F238E27FC236}">
              <a16:creationId xmlns:a16="http://schemas.microsoft.com/office/drawing/2014/main" id="{E9825514-C35C-46C2-9D22-6E50D98DB9D1}"/>
            </a:ext>
          </a:extLst>
        </xdr:cNvPr>
        <xdr:cNvSpPr txBox="1"/>
      </xdr:nvSpPr>
      <xdr:spPr>
        <a:xfrm>
          <a:off x="5476876" y="1323974"/>
          <a:ext cx="1466850" cy="714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760106E-CA31-4120-B075-D9284021CAA0}" type="TxLink">
            <a:rPr lang="en-US" sz="4000" b="1" i="0" u="none" strike="noStrike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/>
            <a:t>20</a:t>
          </a:fld>
          <a:endParaRPr lang="pt-BR" sz="4000" b="1" i="0" u="none" strike="noStrike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14</xdr:col>
      <xdr:colOff>457201</xdr:colOff>
      <xdr:row>6</xdr:row>
      <xdr:rowOff>180974</xdr:rowOff>
    </xdr:from>
    <xdr:to>
      <xdr:col>17</xdr:col>
      <xdr:colOff>95251</xdr:colOff>
      <xdr:row>10</xdr:row>
      <xdr:rowOff>133349</xdr:rowOff>
    </xdr:to>
    <xdr:sp macro="" textlink="$AG$3">
      <xdr:nvSpPr>
        <xdr:cNvPr id="27" name="CaixaDeTexto 26">
          <a:extLst>
            <a:ext uri="{FF2B5EF4-FFF2-40B4-BE49-F238E27FC236}">
              <a16:creationId xmlns:a16="http://schemas.microsoft.com/office/drawing/2014/main" id="{DEC62D8E-8E90-4E2D-9151-AA0F5D0F0514}"/>
            </a:ext>
          </a:extLst>
        </xdr:cNvPr>
        <xdr:cNvSpPr txBox="1"/>
      </xdr:nvSpPr>
      <xdr:spPr>
        <a:xfrm>
          <a:off x="8991601" y="1323974"/>
          <a:ext cx="1466850" cy="714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67B553A-C173-4B38-B643-2F9F5D1B7922}" type="TxLink">
            <a:rPr lang="en-US" sz="4000" b="1" i="0" u="none" strike="noStrike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/>
            <a:t>1</a:t>
          </a:fld>
          <a:endParaRPr lang="pt-BR" sz="4000" b="1" i="0" u="none" strike="noStrike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20</xdr:col>
      <xdr:colOff>314326</xdr:colOff>
      <xdr:row>6</xdr:row>
      <xdr:rowOff>180974</xdr:rowOff>
    </xdr:from>
    <xdr:to>
      <xdr:col>22</xdr:col>
      <xdr:colOff>561976</xdr:colOff>
      <xdr:row>10</xdr:row>
      <xdr:rowOff>133349</xdr:rowOff>
    </xdr:to>
    <xdr:sp macro="" textlink="$AG$4">
      <xdr:nvSpPr>
        <xdr:cNvPr id="28" name="CaixaDeTexto 27">
          <a:extLst>
            <a:ext uri="{FF2B5EF4-FFF2-40B4-BE49-F238E27FC236}">
              <a16:creationId xmlns:a16="http://schemas.microsoft.com/office/drawing/2014/main" id="{CFF8D6DB-65F3-4E5E-8063-507E3FC9B8B7}"/>
            </a:ext>
          </a:extLst>
        </xdr:cNvPr>
        <xdr:cNvSpPr txBox="1"/>
      </xdr:nvSpPr>
      <xdr:spPr>
        <a:xfrm>
          <a:off x="12506326" y="1323974"/>
          <a:ext cx="1466850" cy="714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E89E72A-BA43-466D-8A71-69F2D94AE70A}" type="TxLink">
            <a:rPr lang="en-US" sz="4000" b="1" i="0" u="none" strike="noStrike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/>
            <a:t>3</a:t>
          </a:fld>
          <a:endParaRPr lang="pt-BR" sz="4000" b="1" i="0" u="none" strike="noStrike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26</xdr:col>
      <xdr:colOff>180976</xdr:colOff>
      <xdr:row>6</xdr:row>
      <xdr:rowOff>171449</xdr:rowOff>
    </xdr:from>
    <xdr:to>
      <xdr:col>28</xdr:col>
      <xdr:colOff>428626</xdr:colOff>
      <xdr:row>10</xdr:row>
      <xdr:rowOff>123824</xdr:rowOff>
    </xdr:to>
    <xdr:sp macro="" textlink="$AG$5">
      <xdr:nvSpPr>
        <xdr:cNvPr id="29" name="CaixaDeTexto 28">
          <a:extLst>
            <a:ext uri="{FF2B5EF4-FFF2-40B4-BE49-F238E27FC236}">
              <a16:creationId xmlns:a16="http://schemas.microsoft.com/office/drawing/2014/main" id="{2276EE8E-ACDB-4FC4-A7C1-7E0A70F0E40E}"/>
            </a:ext>
          </a:extLst>
        </xdr:cNvPr>
        <xdr:cNvSpPr txBox="1"/>
      </xdr:nvSpPr>
      <xdr:spPr>
        <a:xfrm>
          <a:off x="16030576" y="1314449"/>
          <a:ext cx="1466850" cy="714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98C1BA7-E7DD-453B-B0D0-AED5BA7ECB14}" type="TxLink">
            <a:rPr lang="en-US" sz="4000" b="1" i="0" u="none" strike="noStrike">
              <a:solidFill>
                <a:schemeClr val="accent5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/>
            <a:t>1</a:t>
          </a:fld>
          <a:endParaRPr lang="pt-BR" sz="4000" b="1" i="0" u="none" strike="noStrike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0</xdr:col>
      <xdr:colOff>105489</xdr:colOff>
      <xdr:row>12</xdr:row>
      <xdr:rowOff>188334</xdr:rowOff>
    </xdr:from>
    <xdr:to>
      <xdr:col>14</xdr:col>
      <xdr:colOff>238125</xdr:colOff>
      <xdr:row>24</xdr:row>
      <xdr:rowOff>95249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50711DC1-0689-45F6-B15E-5CE9B6E09EB0}"/>
            </a:ext>
          </a:extLst>
        </xdr:cNvPr>
        <xdr:cNvSpPr>
          <a:spLocks/>
        </xdr:cNvSpPr>
      </xdr:nvSpPr>
      <xdr:spPr>
        <a:xfrm>
          <a:off x="105489" y="2474334"/>
          <a:ext cx="8667036" cy="219291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endParaRPr lang="pt-BR" sz="1600" b="1" baseline="0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14</xdr:col>
      <xdr:colOff>353139</xdr:colOff>
      <xdr:row>12</xdr:row>
      <xdr:rowOff>169284</xdr:rowOff>
    </xdr:from>
    <xdr:to>
      <xdr:col>28</xdr:col>
      <xdr:colOff>485775</xdr:colOff>
      <xdr:row>24</xdr:row>
      <xdr:rowOff>76199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8DFC6FE4-2B63-4181-8632-6EB20437FEC0}"/>
            </a:ext>
          </a:extLst>
        </xdr:cNvPr>
        <xdr:cNvSpPr>
          <a:spLocks/>
        </xdr:cNvSpPr>
      </xdr:nvSpPr>
      <xdr:spPr>
        <a:xfrm>
          <a:off x="8887539" y="2455284"/>
          <a:ext cx="8667036" cy="219291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endParaRPr lang="pt-BR" sz="1600" b="1" baseline="0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400050</xdr:colOff>
      <xdr:row>13</xdr:row>
      <xdr:rowOff>123825</xdr:rowOff>
    </xdr:from>
    <xdr:to>
      <xdr:col>13</xdr:col>
      <xdr:colOff>590550</xdr:colOff>
      <xdr:row>23</xdr:row>
      <xdr:rowOff>180975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CAFDFE0B-4193-4D06-A2AD-ED63E8670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561975</xdr:colOff>
      <xdr:row>13</xdr:row>
      <xdr:rowOff>95250</xdr:rowOff>
    </xdr:from>
    <xdr:to>
      <xdr:col>28</xdr:col>
      <xdr:colOff>342900</xdr:colOff>
      <xdr:row>23</xdr:row>
      <xdr:rowOff>161926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F48DA7F0-BE1F-4629-8300-F318D1341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115014</xdr:colOff>
      <xdr:row>25</xdr:row>
      <xdr:rowOff>93084</xdr:rowOff>
    </xdr:from>
    <xdr:to>
      <xdr:col>14</xdr:col>
      <xdr:colOff>247650</xdr:colOff>
      <xdr:row>56</xdr:row>
      <xdr:rowOff>57150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4EBCF133-7035-4FFD-988F-A2044E34822D}"/>
            </a:ext>
          </a:extLst>
        </xdr:cNvPr>
        <xdr:cNvSpPr>
          <a:spLocks/>
        </xdr:cNvSpPr>
      </xdr:nvSpPr>
      <xdr:spPr>
        <a:xfrm>
          <a:off x="115014" y="4855584"/>
          <a:ext cx="8667036" cy="586956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endParaRPr lang="pt-BR" sz="1600" b="1" baseline="0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14</xdr:col>
      <xdr:colOff>353139</xdr:colOff>
      <xdr:row>25</xdr:row>
      <xdr:rowOff>93084</xdr:rowOff>
    </xdr:from>
    <xdr:to>
      <xdr:col>28</xdr:col>
      <xdr:colOff>485775</xdr:colOff>
      <xdr:row>36</xdr:row>
      <xdr:rowOff>190499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05A809DE-8684-407C-BAE0-83B4B90ED167}"/>
            </a:ext>
          </a:extLst>
        </xdr:cNvPr>
        <xdr:cNvSpPr>
          <a:spLocks/>
        </xdr:cNvSpPr>
      </xdr:nvSpPr>
      <xdr:spPr>
        <a:xfrm>
          <a:off x="8887539" y="4855584"/>
          <a:ext cx="8667036" cy="219291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endParaRPr lang="pt-BR" sz="1600" b="1" baseline="0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466725</xdr:colOff>
      <xdr:row>27</xdr:row>
      <xdr:rowOff>19051</xdr:rowOff>
    </xdr:from>
    <xdr:to>
      <xdr:col>13</xdr:col>
      <xdr:colOff>561975</xdr:colOff>
      <xdr:row>54</xdr:row>
      <xdr:rowOff>133351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782A2A21-79FA-448A-AE0B-7DD25C84D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523875</xdr:colOff>
      <xdr:row>25</xdr:row>
      <xdr:rowOff>171450</xdr:rowOff>
    </xdr:from>
    <xdr:to>
      <xdr:col>28</xdr:col>
      <xdr:colOff>295274</xdr:colOff>
      <xdr:row>36</xdr:row>
      <xdr:rowOff>114300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2FB14CBF-DD00-4A91-8D81-2A950BB69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485774</xdr:colOff>
      <xdr:row>0</xdr:row>
      <xdr:rowOff>76200</xdr:rowOff>
    </xdr:from>
    <xdr:to>
      <xdr:col>28</xdr:col>
      <xdr:colOff>28575</xdr:colOff>
      <xdr:row>3</xdr:row>
      <xdr:rowOff>156672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C0E80867-C239-749B-7A5C-50DE3F327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4" t="20696" r="17181" b="24459"/>
        <a:stretch>
          <a:fillRect/>
        </a:stretch>
      </xdr:blipFill>
      <xdr:spPr>
        <a:xfrm>
          <a:off x="15725774" y="76200"/>
          <a:ext cx="1371601" cy="651972"/>
        </a:xfrm>
        <a:prstGeom prst="rect">
          <a:avLst/>
        </a:prstGeom>
      </xdr:spPr>
    </xdr:pic>
    <xdr:clientData/>
  </xdr:twoCellAnchor>
  <xdr:twoCellAnchor editAs="oneCell">
    <xdr:from>
      <xdr:col>22</xdr:col>
      <xdr:colOff>447676</xdr:colOff>
      <xdr:row>1</xdr:row>
      <xdr:rowOff>19051</xdr:rowOff>
    </xdr:from>
    <xdr:to>
      <xdr:col>24</xdr:col>
      <xdr:colOff>223591</xdr:colOff>
      <xdr:row>3</xdr:row>
      <xdr:rowOff>94351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721FE9E9-869D-19CF-7FB6-51C16DE7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8876" y="209551"/>
          <a:ext cx="995115" cy="45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47626</xdr:rowOff>
    </xdr:from>
    <xdr:to>
      <xdr:col>4</xdr:col>
      <xdr:colOff>497558</xdr:colOff>
      <xdr:row>4</xdr:row>
      <xdr:rowOff>28576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220745FA-B20A-0D52-59CC-24D138A5D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47626"/>
          <a:ext cx="2297783" cy="742950"/>
        </a:xfrm>
        <a:prstGeom prst="rect">
          <a:avLst/>
        </a:prstGeom>
      </xdr:spPr>
    </xdr:pic>
    <xdr:clientData/>
  </xdr:twoCellAnchor>
  <xdr:twoCellAnchor>
    <xdr:from>
      <xdr:col>14</xdr:col>
      <xdr:colOff>362664</xdr:colOff>
      <xdr:row>37</xdr:row>
      <xdr:rowOff>178809</xdr:rowOff>
    </xdr:from>
    <xdr:to>
      <xdr:col>28</xdr:col>
      <xdr:colOff>495300</xdr:colOff>
      <xdr:row>56</xdr:row>
      <xdr:rowOff>57150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8C34C091-9C00-4DBE-9940-2B327D94751D}"/>
            </a:ext>
          </a:extLst>
        </xdr:cNvPr>
        <xdr:cNvSpPr>
          <a:spLocks/>
        </xdr:cNvSpPr>
      </xdr:nvSpPr>
      <xdr:spPr>
        <a:xfrm>
          <a:off x="8897064" y="7227309"/>
          <a:ext cx="8667036" cy="3497841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endParaRPr lang="pt-BR" sz="1600" b="1" baseline="0">
            <a:solidFill>
              <a:schemeClr val="accent5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15</xdr:col>
      <xdr:colOff>713</xdr:colOff>
      <xdr:row>38</xdr:row>
      <xdr:rowOff>102609</xdr:rowOff>
    </xdr:from>
    <xdr:to>
      <xdr:col>28</xdr:col>
      <xdr:colOff>161924</xdr:colOff>
      <xdr:row>55</xdr:row>
      <xdr:rowOff>47625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4959D7C7-AC2B-4AEF-9AB2-D3A7E0386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B996A7-07F0-ABF9-FAF4-0BF90D79C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1304925</xdr:colOff>
      <xdr:row>0</xdr:row>
      <xdr:rowOff>0</xdr:rowOff>
    </xdr:from>
    <xdr:to>
      <xdr:col>19</xdr:col>
      <xdr:colOff>295275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8BC105-B35F-B89C-BE6B-C16F93689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1304925</xdr:colOff>
      <xdr:row>0</xdr:row>
      <xdr:rowOff>0</xdr:rowOff>
    </xdr:from>
    <xdr:to>
      <xdr:col>29</xdr:col>
      <xdr:colOff>295275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C15434-424A-FC55-C5B6-0AF2EB04C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14287</xdr:rowOff>
    </xdr:from>
    <xdr:to>
      <xdr:col>9</xdr:col>
      <xdr:colOff>590550</xdr:colOff>
      <xdr:row>46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DB225A-6F0C-B383-066D-ED6F8D7E8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0</xdr:row>
      <xdr:rowOff>0</xdr:rowOff>
    </xdr:from>
    <xdr:to>
      <xdr:col>9</xdr:col>
      <xdr:colOff>295275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2D8CB1-CDCF-0538-41DE-5DC2D555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0</xdr:row>
      <xdr:rowOff>0</xdr:rowOff>
    </xdr:from>
    <xdr:to>
      <xdr:col>19</xdr:col>
      <xdr:colOff>314325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90374C-4F11-A0B8-C0CC-4ED3E2831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0</xdr:row>
      <xdr:rowOff>0</xdr:rowOff>
    </xdr:from>
    <xdr:to>
      <xdr:col>29</xdr:col>
      <xdr:colOff>304800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65CF66-D3B7-DB40-E69D-AAB060F1E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F5D6E9-9251-B98F-F340-C32C77EC6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19</xdr:col>
      <xdr:colOff>304800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D65CC9-8FE6-4B77-607F-F56905FCA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0</xdr:row>
      <xdr:rowOff>0</xdr:rowOff>
    </xdr:from>
    <xdr:to>
      <xdr:col>29</xdr:col>
      <xdr:colOff>314325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418914-BA77-42C2-1D71-F19C0007B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15</xdr:row>
      <xdr:rowOff>4762</xdr:rowOff>
    </xdr:from>
    <xdr:to>
      <xdr:col>9</xdr:col>
      <xdr:colOff>304800</xdr:colOff>
      <xdr:row>29</xdr:row>
      <xdr:rowOff>80962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A802D1-40B9-CF21-515B-68DE9670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nandes da Costa" refreshedDate="46142.674553472221" createdVersion="8" refreshedVersion="8" minRefreshableVersion="3" recordCount="3" xr:uid="{36DBC3D8-EC62-4209-B656-C30C95D32F4F}">
  <cacheSource type="worksheet">
    <worksheetSource name="rastreabilidade_posicoes"/>
  </cacheSource>
  <cacheFields count="10">
    <cacheField name="ID" numFmtId="0">
      <sharedItems containsSemiMixedTypes="0" containsString="0" containsNumber="1" containsInteger="1" minValue="1" maxValue="3"/>
    </cacheField>
    <cacheField name="CR" numFmtId="0">
      <sharedItems/>
    </cacheField>
    <cacheField name="Posição" numFmtId="0">
      <sharedItems/>
    </cacheField>
    <cacheField name="Quantidade" numFmtId="0">
      <sharedItems containsSemiMixedTypes="0" containsString="0" containsNumber="1" containsInteger="1" minValue="20" maxValue="31"/>
    </cacheField>
    <cacheField name="Local Atual" numFmtId="0">
      <sharedItems count="3">
        <s v="Dobra"/>
        <s v="HP12-T4 Sul"/>
        <s v="Recorte"/>
      </sharedItems>
    </cacheField>
    <cacheField name="Responsável" numFmtId="0">
      <sharedItems count="3">
        <s v="Scila"/>
        <s v="João"/>
        <s v="Lucas" u="1"/>
      </sharedItems>
    </cacheField>
    <cacheField name="Observação" numFmtId="0">
      <sharedItems/>
    </cacheField>
    <cacheField name="Data Cadastro" numFmtId="22">
      <sharedItems containsSemiMixedTypes="0" containsNonDate="0" containsDate="1" containsString="0" minDate="2026-04-29T14:48:55" maxDate="2026-04-30T08:55:23"/>
    </cacheField>
    <cacheField name="Última Movimentação" numFmtId="22">
      <sharedItems containsSemiMixedTypes="0" containsNonDate="0" containsDate="1" containsString="0" minDate="2026-04-29T14:54:41" maxDate="2026-04-30T10:05:39"/>
    </cacheField>
    <cacheField name="Horas Sem movimentação" numFmtId="0">
      <sharedItems containsSemiMixedTypes="0" containsString="0" containsNumber="1" containsInteger="1" minValue="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nandes da Costa" refreshedDate="46142.674554976853" createdVersion="8" refreshedVersion="8" minRefreshableVersion="3" recordCount="6" xr:uid="{B3245105-E3DF-4374-B612-EE6563E2C67C}">
  <cacheSource type="worksheet">
    <worksheetSource name="esperas_material"/>
  </cacheSource>
  <cacheFields count="16">
    <cacheField name="ID" numFmtId="0">
      <sharedItems containsSemiMixedTypes="0" containsString="0" containsNumber="1" containsInteger="1" minValue="1" maxValue="6"/>
    </cacheField>
    <cacheField name="Máquina" numFmtId="0">
      <sharedItems count="3">
        <s v="HP12-T4 Sul"/>
        <s v="Terrablade"/>
        <s v="XP12-T4"/>
      </sharedItems>
    </cacheField>
    <cacheField name="Tipo de Material" numFmtId="0">
      <sharedItems/>
    </cacheField>
    <cacheField name="Qualidade" numFmtId="0">
      <sharedItems/>
    </cacheField>
    <cacheField name="Medidas" numFmtId="0">
      <sharedItems/>
    </cacheField>
    <cacheField name="Quantidade" numFmtId="0">
      <sharedItems containsSemiMixedTypes="0" containsString="0" containsNumber="1" containsInteger="1" minValue="1" maxValue="25"/>
    </cacheField>
    <cacheField name="CR do Material" numFmtId="0">
      <sharedItems/>
    </cacheField>
    <cacheField name="Responsável Registro" numFmtId="0">
      <sharedItems/>
    </cacheField>
    <cacheField name="Observação Inicial" numFmtId="0">
      <sharedItems/>
    </cacheField>
    <cacheField name="Data Início" numFmtId="22">
      <sharedItems containsSemiMixedTypes="0" containsNonDate="0" containsDate="1" containsString="0" minDate="2026-04-29T14:32:55" maxDate="2026-04-30T09:25:55"/>
    </cacheField>
    <cacheField name="Responsável Recebimento" numFmtId="0">
      <sharedItems/>
    </cacheField>
    <cacheField name="Observação Final" numFmtId="0">
      <sharedItems/>
    </cacheField>
    <cacheField name="Data Recebimento" numFmtId="22">
      <sharedItems containsNonDate="0" containsDate="1" containsString="0" containsBlank="1" minDate="2026-04-29T14:39:49" maxDate="2026-04-29T15:32:22"/>
    </cacheField>
    <cacheField name="Tempo Total" numFmtId="0">
      <sharedItems/>
    </cacheField>
    <cacheField name="Status" numFmtId="0">
      <sharedItems count="2">
        <s v="Esperando material"/>
        <s v="Material recebido"/>
      </sharedItems>
    </cacheField>
    <cacheField name="Tempo em Minutos" numFmtId="0">
      <sharedItems containsSemiMixedTypes="0" containsString="0" containsNumber="1" containsInteger="1" minValue="1" maxValue="1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nandes da Costa" refreshedDate="46142.674556828701" createdVersion="8" refreshedVersion="8" minRefreshableVersion="3" recordCount="2" xr:uid="{CBE051BD-E839-4827-84E6-8A4841E72DF4}">
  <cacheSource type="worksheet">
    <worksheetSource name="manutencoes"/>
  </cacheSource>
  <cacheFields count="10">
    <cacheField name="ID" numFmtId="0">
      <sharedItems containsSemiMixedTypes="0" containsString="0" containsNumber="1" containsInteger="1" minValue="1" maxValue="2"/>
    </cacheField>
    <cacheField name="Máquina" numFmtId="0">
      <sharedItems count="2">
        <s v="P83"/>
        <s v="XP12-T4"/>
      </sharedItems>
    </cacheField>
    <cacheField name="Tipo de Manutenção" numFmtId="0">
      <sharedItems/>
    </cacheField>
    <cacheField name="Descrição" numFmtId="0">
      <sharedItems/>
    </cacheField>
    <cacheField name="Responsável" numFmtId="0">
      <sharedItems/>
    </cacheField>
    <cacheField name="Status" numFmtId="0">
      <sharedItems count="2">
        <s v="Parada"/>
        <s v="Concluída"/>
      </sharedItems>
    </cacheField>
    <cacheField name="Observação" numFmtId="0">
      <sharedItems/>
    </cacheField>
    <cacheField name="Data Registro" numFmtId="22">
      <sharedItems containsSemiMixedTypes="0" containsNonDate="0" containsDate="1" containsString="0" minDate="2026-04-29T15:06:38" maxDate="2026-04-29T15:46:48"/>
    </cacheField>
    <cacheField name="Última Atualização" numFmtId="22">
      <sharedItems containsNonDate="0" containsDate="1" containsString="0" containsBlank="1" minDate="2026-04-29T15:07:01" maxDate="2026-04-29T15:07:01"/>
    </cacheField>
    <cacheField name="Tempo em Minutos" numFmtId="0">
      <sharedItems containsSemiMixedTypes="0" containsString="0" containsNumber="1" containsInteger="1" minValue="0" maxValue="14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nandes da Costa" refreshedDate="46142.674558217594" createdVersion="8" refreshedVersion="8" minRefreshableVersion="3" recordCount="3" xr:uid="{226A3FA2-CEDD-437B-8A0E-46EF694C9CE6}">
  <cacheSource type="worksheet">
    <worksheetSource name="rastreabilidade_posicoes"/>
  </cacheSource>
  <cacheFields count="10">
    <cacheField name="ID" numFmtId="0">
      <sharedItems containsSemiMixedTypes="0" containsString="0" containsNumber="1" containsInteger="1" minValue="1" maxValue="3"/>
    </cacheField>
    <cacheField name="CR" numFmtId="0">
      <sharedItems count="2">
        <s v="1302CD"/>
        <s v="304DL"/>
      </sharedItems>
    </cacheField>
    <cacheField name="Posição" numFmtId="0">
      <sharedItems count="3">
        <s v="DAP4-301H"/>
        <s v="DAP4-101H"/>
        <s v="XCAA-100H"/>
      </sharedItems>
    </cacheField>
    <cacheField name="Quantidade" numFmtId="0">
      <sharedItems containsSemiMixedTypes="0" containsString="0" containsNumber="1" containsInteger="1" minValue="20" maxValue="31"/>
    </cacheField>
    <cacheField name="Local Atual" numFmtId="0">
      <sharedItems count="3">
        <s v="Dobra"/>
        <s v="HP12-T4 Sul"/>
        <s v="Recorte"/>
      </sharedItems>
    </cacheField>
    <cacheField name="Responsável" numFmtId="0">
      <sharedItems/>
    </cacheField>
    <cacheField name="Observação" numFmtId="0">
      <sharedItems/>
    </cacheField>
    <cacheField name="Data Cadastro" numFmtId="22">
      <sharedItems containsSemiMixedTypes="0" containsNonDate="0" containsDate="1" containsString="0" minDate="2026-04-29T14:48:55" maxDate="2026-04-30T08:55:23"/>
    </cacheField>
    <cacheField name="Última Movimentação" numFmtId="22">
      <sharedItems containsSemiMixedTypes="0" containsNonDate="0" containsDate="1" containsString="0" minDate="2026-04-29T14:54:41" maxDate="2026-04-30T10:05:39"/>
    </cacheField>
    <cacheField name="Horas Sem movimentação" numFmtId="0">
      <sharedItems containsSemiMixedTypes="0" containsString="0" containsNumber="1" containsInteger="1" minValue="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3"/>
    <s v="1302CD"/>
    <s v="DAP4-301H"/>
    <n v="30"/>
    <x v="0"/>
    <x v="0"/>
    <s v=""/>
    <d v="2026-04-30T08:55:23"/>
    <d v="2026-04-30T10:05:39"/>
    <n v="5"/>
  </r>
  <r>
    <n v="2"/>
    <s v="304DL"/>
    <s v="DAP4-101H"/>
    <n v="20"/>
    <x v="1"/>
    <x v="1"/>
    <s v=""/>
    <d v="2026-04-30T08:55:12"/>
    <d v="2026-04-30T08:55:12"/>
    <n v="7"/>
  </r>
  <r>
    <n v="1"/>
    <s v="1302CD"/>
    <s v="XCAA-100H"/>
    <n v="31"/>
    <x v="2"/>
    <x v="0"/>
    <s v=""/>
    <d v="2026-04-29T14:48:55"/>
    <d v="2026-04-29T14:54:41"/>
    <n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4"/>
    <x v="0"/>
    <s v="Cantoneira"/>
    <s v="A572 GR50"/>
    <s v="75x75x5"/>
    <n v="20"/>
    <s v=""/>
    <s v="Pedro"/>
    <s v=""/>
    <d v="2026-04-29T15:37:17"/>
    <s v=""/>
    <s v=""/>
    <m/>
    <s v="24h 20min"/>
    <x v="0"/>
    <n v="1460"/>
  </r>
  <r>
    <n v="6"/>
    <x v="1"/>
    <s v="Chapa"/>
    <s v="A36"/>
    <s v="12,5"/>
    <n v="1"/>
    <s v=""/>
    <s v="Pedro"/>
    <s v=""/>
    <d v="2026-04-30T09:25:55"/>
    <s v=""/>
    <s v=""/>
    <m/>
    <s v="6h 32min"/>
    <x v="0"/>
    <n v="392"/>
  </r>
  <r>
    <n v="5"/>
    <x v="0"/>
    <s v="Cantoneira"/>
    <s v="A572 GR60"/>
    <s v="45x45x4"/>
    <n v="25"/>
    <s v=""/>
    <s v="Pedro"/>
    <s v=""/>
    <d v="2026-04-30T09:25:05"/>
    <s v=""/>
    <s v=""/>
    <m/>
    <s v="6h 32min"/>
    <x v="0"/>
    <n v="392"/>
  </r>
  <r>
    <n v="2"/>
    <x v="2"/>
    <s v="Cantoneira"/>
    <s v="A36"/>
    <s v="45x45x4"/>
    <n v="6"/>
    <s v="132HD3"/>
    <s v="Pedro"/>
    <s v=""/>
    <d v="2026-04-29T14:39:16"/>
    <s v="Wagner"/>
    <s v=""/>
    <d v="2026-04-29T15:32:22"/>
    <s v="0h 53min"/>
    <x v="1"/>
    <n v="53"/>
  </r>
  <r>
    <n v="1"/>
    <x v="2"/>
    <s v="Cantoneira"/>
    <s v="A36"/>
    <s v="45x45x3"/>
    <n v="12"/>
    <s v="DC12DL"/>
    <s v="Pedro"/>
    <s v=""/>
    <d v="2026-04-29T14:32:55"/>
    <s v="Wagner"/>
    <s v=""/>
    <d v="2026-04-29T14:39:49"/>
    <s v="0h 6min"/>
    <x v="1"/>
    <n v="6"/>
  </r>
  <r>
    <n v="3"/>
    <x v="2"/>
    <s v="Cantoneira"/>
    <s v="A572 GR50"/>
    <s v="45x45x3"/>
    <n v="12"/>
    <s v="DC12DL"/>
    <s v="Pedro"/>
    <s v=""/>
    <d v="2026-04-29T15:07:49"/>
    <s v="Wagner"/>
    <s v=""/>
    <d v="2026-04-29T15:09:03"/>
    <s v="0h 1min"/>
    <x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"/>
    <x v="0"/>
    <s v="Corretiva"/>
    <s v="Quebrou a mangueira"/>
    <s v="Priscila"/>
    <x v="0"/>
    <s v=""/>
    <d v="2026-04-29T15:46:48"/>
    <m/>
    <n v="1451"/>
  </r>
  <r>
    <n v="1"/>
    <x v="1"/>
    <s v="Corretiva"/>
    <s v="Quebrou a pinça"/>
    <s v="Pedro"/>
    <x v="1"/>
    <s v=""/>
    <d v="2026-04-29T15:06:38"/>
    <d v="2026-04-29T15:07:0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3"/>
    <x v="0"/>
    <x v="0"/>
    <n v="30"/>
    <x v="0"/>
    <s v="Scila"/>
    <s v=""/>
    <d v="2026-04-30T08:55:23"/>
    <d v="2026-04-30T10:05:39"/>
    <n v="5"/>
  </r>
  <r>
    <n v="2"/>
    <x v="1"/>
    <x v="1"/>
    <n v="20"/>
    <x v="1"/>
    <s v="João"/>
    <s v=""/>
    <d v="2026-04-30T08:55:12"/>
    <d v="2026-04-30T08:55:12"/>
    <n v="7"/>
  </r>
  <r>
    <n v="1"/>
    <x v="0"/>
    <x v="2"/>
    <n v="31"/>
    <x v="2"/>
    <s v="Scila"/>
    <s v=""/>
    <d v="2026-04-29T14:48:55"/>
    <d v="2026-04-29T14:54:41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23BD7-43F3-4E97-9EAE-2D1E76E63783}" name="Tabela dinâmica21" cacheId="5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osições">
  <location ref="A18:C27" firstHeaderRow="0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2" showAll="0"/>
    <pivotField numFmtId="22" showAll="0"/>
    <pivotField dataField="1" showAll="0"/>
  </pivotFields>
  <rowFields count="3">
    <field x="1"/>
    <field x="2"/>
    <field x="4"/>
  </rowFields>
  <rowItems count="9">
    <i>
      <x/>
    </i>
    <i r="1">
      <x v="1"/>
    </i>
    <i r="2">
      <x/>
    </i>
    <i r="1">
      <x v="2"/>
    </i>
    <i r="2">
      <x v="2"/>
    </i>
    <i>
      <x v="1"/>
    </i>
    <i r="1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3" baseField="0" baseItem="0"/>
    <dataField name="Soma de Horas Sem movimentação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7B038-106C-4D75-86BA-FD01FAFF843E}" name="Tabela dinâmica13" cacheId="5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Responsável">
  <location ref="U1:V4" firstHeaderRow="1" firstDataRow="1" firstDataCol="1"/>
  <pivotFields count="10">
    <pivotField showAll="0"/>
    <pivotField showAll="0"/>
    <pivotField showAll="0"/>
    <pivotField dataField="1" showAll="0"/>
    <pivotField showAll="0"/>
    <pivotField axis="axisRow" showAll="0">
      <items count="4">
        <item x="1"/>
        <item m="1" x="2"/>
        <item x="0"/>
        <item t="default"/>
      </items>
    </pivotField>
    <pivotField showAll="0"/>
    <pivotField numFmtId="22" showAll="0"/>
    <pivotField numFmtId="22" showAll="0"/>
    <pivotField showAll="0"/>
  </pivotFields>
  <rowFields count="1">
    <field x="5"/>
  </rowFields>
  <rowItems count="3">
    <i>
      <x/>
    </i>
    <i>
      <x v="2"/>
    </i>
    <i t="grand">
      <x/>
    </i>
  </rowItems>
  <colItems count="1">
    <i/>
  </colItems>
  <dataFields count="1">
    <dataField name="Soma de Quantidade" fld="3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7C0B8-4787-406A-B130-9072C8E16B32}" name="Tabela dinâmica12" cacheId="5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Local Atual">
  <location ref="K1:L5" firstHeaderRow="1" firstDataRow="1" firstDataCol="1"/>
  <pivotFields count="10"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22" showAll="0"/>
    <pivotField numFmtId="22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Quantidade" fld="3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75772-75BB-4F31-9C4A-94BD0FAAE046}" name="Tabela dinâmica1" cacheId="5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Local Atual">
  <location ref="A1:B5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22" showAll="0"/>
    <pivotField numFmtId="22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" fld="0" subtotal="count" baseField="4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D6152-4627-4202-AFE3-54AD1A87E627}" name="Tabela dinâmica11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U1:V4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Média de Tempo em Minutos" fld="9" subtotal="average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C173B-B848-4331-8755-4F45B490B741}" name="Tabela dinâmica10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K1:L4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Tempo em Minuto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F5A0A-70C7-4B00-B6D6-842497E63EF6}" name="Tabela dinâmica2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Status">
  <location ref="A1:B4" firstHeaderRow="1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22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ID" fld="0" subtotal="count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16AD0-4ACE-4BAE-8F55-831C971D29CC}" name="Tabela dinâmica9" cacheId="5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8:B21" firstHeaderRow="1" firstDataRow="1" firstDataCol="1" rowPageCount="1" colPageCount="1"/>
  <pivotFields count="1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Page" showAll="0" includeNewItemsInFilter="1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14" item="0" hier="-1"/>
  </pageFields>
  <dataFields count="1">
    <dataField name="Soma de Tempo em Minutos" fld="1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48E01-87FF-4975-BEA9-552809D7E5E4}" name="Tabela dinâmica7" cacheId="5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áquina">
  <location ref="U1:V5" firstHeaderRow="1" firstDataRow="1" firstDataCol="1"/>
  <pivotFields count="16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Tempo em Minutos" fld="15" subtotal="average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2D3A0-8496-4209-A9EE-0CF6790A02C1}" name="Tabela dinâmica5" cacheId="5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áquina">
  <location ref="K1:L5" firstHeaderRow="1" firstDataRow="1" firstDataCol="1"/>
  <pivotFields count="16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empo em Minutos" fld="1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1768C-4133-4FAE-A866-BBA678E4E179}" name="Tabela dinâmica3" cacheId="5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Máquinas">
  <location ref="A1:B5" firstHeaderRow="1" firstDataRow="1" firstDataCol="1"/>
  <pivotFields count="16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" fld="0" subtotal="count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F462FF9D-9FA0-4CCE-BFE8-5685F971A8DA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CR" tableColumnId="2"/>
      <queryTableField id="3" name="Posição" tableColumnId="3"/>
      <queryTableField id="4" name="Quantidade" tableColumnId="4"/>
      <queryTableField id="5" name="Local Atual" tableColumnId="5"/>
      <queryTableField id="6" name="Responsável" tableColumnId="6"/>
      <queryTableField id="7" name="Observação" tableColumnId="7"/>
      <queryTableField id="8" name="Data Cadastro" tableColumnId="8"/>
      <queryTableField id="9" name="Última Movimentação" tableColumnId="9"/>
      <queryTableField id="10" name="Horas Sem movimentaçã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60FCB0E7-6F20-4113-9A39-BB753FD89F5B}" autoFormatId="16" applyNumberFormats="0" applyBorderFormats="0" applyFontFormats="0" applyPatternFormats="0" applyAlignmentFormats="0" applyWidthHeightFormats="0">
  <queryTableRefresh nextId="10">
    <queryTableFields count="9">
      <queryTableField id="1" name="ID Movimentação" tableColumnId="1"/>
      <queryTableField id="2" name="ID Lote" tableColumnId="2"/>
      <queryTableField id="3" name="CR" tableColumnId="3"/>
      <queryTableField id="4" name="Posição" tableColumnId="4"/>
      <queryTableField id="5" name="Origem" tableColumnId="5"/>
      <queryTableField id="6" name="Destino" tableColumnId="6"/>
      <queryTableField id="7" name="Responsável" tableColumnId="7"/>
      <queryTableField id="8" name="Observação" tableColumnId="8"/>
      <queryTableField id="9" name="Data/Hora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2" xr16:uid="{3A01CB6C-4AF8-4AA3-90F5-FA0AC8515C6E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Máquina" tableColumnId="2"/>
      <queryTableField id="3" name="Tipo de Manutenção" tableColumnId="3"/>
      <queryTableField id="4" name="Descrição" tableColumnId="4"/>
      <queryTableField id="5" name="Responsável" tableColumnId="5"/>
      <queryTableField id="6" name="Status" tableColumnId="6"/>
      <queryTableField id="7" name="Observação" tableColumnId="7"/>
      <queryTableField id="8" name="Data Registro" tableColumnId="8"/>
      <queryTableField id="9" name="Última Atualização" tableColumnId="9"/>
      <queryTableField id="10" name="Tempo em Minuto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83CFC0C4-109B-4F38-A7AA-E2F5B3AE7029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ID" tableColumnId="1"/>
      <queryTableField id="2" name="Máquina" tableColumnId="2"/>
      <queryTableField id="3" name="Tipo de Material" tableColumnId="3"/>
      <queryTableField id="4" name="Qualidade" tableColumnId="4"/>
      <queryTableField id="5" name="Medidas" tableColumnId="5"/>
      <queryTableField id="6" name="Quantidade" tableColumnId="6"/>
      <queryTableField id="7" name="CR do Material" tableColumnId="7"/>
      <queryTableField id="8" name="Responsável Registro" tableColumnId="8"/>
      <queryTableField id="9" name="Observação Inicial" tableColumnId="9"/>
      <queryTableField id="10" name="Data Início" tableColumnId="10"/>
      <queryTableField id="11" name="Responsável Recebimento" tableColumnId="11"/>
      <queryTableField id="12" name="Observação Final" tableColumnId="12"/>
      <queryTableField id="13" name="Data Recebimento" tableColumnId="13"/>
      <queryTableField id="14" name="Tempo Total" tableColumnId="14"/>
      <queryTableField id="15" name="Status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4D1780-FE28-4C0A-B596-F7AED6FE92F4}" name="rastreabilidade_posicoes" displayName="rastreabilidade_posicoes" ref="A1:J5" tableType="queryTable" totalsRowShown="0">
  <autoFilter ref="A1:J5" xr:uid="{754D1780-FE28-4C0A-B596-F7AED6FE92F4}"/>
  <tableColumns count="10">
    <tableColumn id="1" xr3:uid="{05502276-4409-45DC-941D-D8925892A738}" uniqueName="1" name="ID" queryTableFieldId="1"/>
    <tableColumn id="2" xr3:uid="{2090A8A5-67D0-4CB7-BA08-158377CCC9A4}" uniqueName="2" name="CR" queryTableFieldId="2" dataDxfId="35"/>
    <tableColumn id="3" xr3:uid="{874A4BD1-6E86-4B3B-AC70-247D91B5C8EF}" uniqueName="3" name="Posição" queryTableFieldId="3" dataDxfId="34"/>
    <tableColumn id="4" xr3:uid="{76BC0924-7769-421A-967C-9FC0213A1840}" uniqueName="4" name="Quantidade" queryTableFieldId="4"/>
    <tableColumn id="5" xr3:uid="{66BF6DAD-6715-476A-A037-3CC4F91782E8}" uniqueName="5" name="Local Atual" queryTableFieldId="5" dataDxfId="33"/>
    <tableColumn id="6" xr3:uid="{DD4D6477-1A92-41B8-8C22-83D642DFEFDD}" uniqueName="6" name="Responsável" queryTableFieldId="6" dataDxfId="32"/>
    <tableColumn id="7" xr3:uid="{6625E2B0-5EE6-4329-B4A9-D6EC10F770C9}" uniqueName="7" name="Observação" queryTableFieldId="7" dataDxfId="31"/>
    <tableColumn id="8" xr3:uid="{9DFE157A-6BCB-48BB-9927-815F56B44E64}" uniqueName="8" name="Data Cadastro" queryTableFieldId="8" dataDxfId="30"/>
    <tableColumn id="9" xr3:uid="{D07757FD-2BCC-4BAE-A4A9-DF5779D8EA2E}" uniqueName="9" name="Última Movimentação" queryTableFieldId="9" dataDxfId="29"/>
    <tableColumn id="10" xr3:uid="{7DC20840-29E6-4EBF-B8E6-D7451E548125}" uniqueName="10" name="Horas Sem movimentação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13D036-DE4F-49F3-91BA-4FDA61D50781}" name="rastreabilidade_movimentacoes" displayName="rastreabilidade_movimentacoes" ref="A1:I5" tableType="queryTable" totalsRowShown="0">
  <autoFilter ref="A1:I5" xr:uid="{1E13D036-DE4F-49F3-91BA-4FDA61D50781}"/>
  <tableColumns count="9">
    <tableColumn id="1" xr3:uid="{46537719-0D64-49D9-BE73-3163AD41CF68}" uniqueName="1" name="ID Movimentação" queryTableFieldId="1"/>
    <tableColumn id="2" xr3:uid="{4F45B822-09C0-4BA2-8253-FFF8C0600E80}" uniqueName="2" name="ID Lote" queryTableFieldId="2"/>
    <tableColumn id="3" xr3:uid="{4D443F6D-5650-486E-8A23-AE9A3060542A}" uniqueName="3" name="CR" queryTableFieldId="3" dataDxfId="28"/>
    <tableColumn id="4" xr3:uid="{BE5C6BBF-D08E-4FB4-8277-CFAADAF11896}" uniqueName="4" name="Posição" queryTableFieldId="4" dataDxfId="27"/>
    <tableColumn id="5" xr3:uid="{449AF826-EC68-4777-9349-9FB93E5FBA66}" uniqueName="5" name="Origem" queryTableFieldId="5" dataDxfId="26"/>
    <tableColumn id="6" xr3:uid="{65F17515-4EF9-4C5A-A637-A737E72A0A1C}" uniqueName="6" name="Destino" queryTableFieldId="6" dataDxfId="25"/>
    <tableColumn id="7" xr3:uid="{40EE2523-D2F5-4B07-A1D2-4AD4EBA5C7E2}" uniqueName="7" name="Responsável" queryTableFieldId="7" dataDxfId="24"/>
    <tableColumn id="8" xr3:uid="{C2C4338C-11FD-4E44-AA73-FE1FDDD63C87}" uniqueName="8" name="Observação" queryTableFieldId="8" dataDxfId="23"/>
    <tableColumn id="9" xr3:uid="{415A6F42-2AA0-40DD-B98C-16CE8E9A5288}" uniqueName="9" name="Data/Hora" queryTableFieldId="9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3B00E3-CEAA-4D31-B8CB-D9AA71B31C94}" name="manutencoes" displayName="manutencoes" ref="A1:J3" tableType="queryTable" totalsRowShown="0">
  <autoFilter ref="A1:J3" xr:uid="{3C3B00E3-CEAA-4D31-B8CB-D9AA71B31C94}"/>
  <tableColumns count="10">
    <tableColumn id="1" xr3:uid="{56658917-5AE4-4CDD-8512-174C87C0E42B}" uniqueName="1" name="ID" queryTableFieldId="1"/>
    <tableColumn id="2" xr3:uid="{4A2A0AFF-6B2F-4F7A-BCDA-14BC1DB17988}" uniqueName="2" name="Máquina" queryTableFieldId="2" dataDxfId="21"/>
    <tableColumn id="3" xr3:uid="{6994A621-2FCE-483D-86F2-8F37A16F5F84}" uniqueName="3" name="Tipo de Manutenção" queryTableFieldId="3" dataDxfId="20"/>
    <tableColumn id="4" xr3:uid="{5A42058C-22E0-4A3C-ACCE-DA49F5FB725F}" uniqueName="4" name="Descrição" queryTableFieldId="4" dataDxfId="19"/>
    <tableColumn id="5" xr3:uid="{ED62C66E-961F-4C17-8B99-96AF0044575C}" uniqueName="5" name="Responsável" queryTableFieldId="5" dataDxfId="18"/>
    <tableColumn id="6" xr3:uid="{1543F78D-1E88-4250-8D8B-F9459C16C3AC}" uniqueName="6" name="Status" queryTableFieldId="6" dataDxfId="17"/>
    <tableColumn id="7" xr3:uid="{0680AAFB-2650-4550-AEF1-400A05AE5364}" uniqueName="7" name="Observação" queryTableFieldId="7" dataDxfId="16"/>
    <tableColumn id="8" xr3:uid="{73096E23-A081-492A-B970-ED53C55AA89D}" uniqueName="8" name="Data Registro" queryTableFieldId="8" dataDxfId="15"/>
    <tableColumn id="9" xr3:uid="{A8AB59A1-9942-48DF-9463-E2BA78B9D48D}" uniqueName="9" name="Última Atualização" queryTableFieldId="9" dataDxfId="14"/>
    <tableColumn id="10" xr3:uid="{6222963A-6A71-4B4C-8C8F-F339F731DF66}" uniqueName="10" name="Tempo em Minutos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A15F39-7B0C-4650-8266-07AA3CF484A1}" name="esperas_material" displayName="esperas_material" ref="A1:P7" tableType="queryTable" totalsRowShown="0">
  <autoFilter ref="A1:P7" xr:uid="{E5A15F39-7B0C-4650-8266-07AA3CF484A1}"/>
  <sortState xmlns:xlrd2="http://schemas.microsoft.com/office/spreadsheetml/2017/richdata2" ref="A2:P7">
    <sortCondition descending="1" ref="P1:P7"/>
  </sortState>
  <tableColumns count="16">
    <tableColumn id="1" xr3:uid="{12C04137-E0FA-4E5A-99E7-49F3FC1DBD2B}" uniqueName="1" name="ID" queryTableFieldId="1"/>
    <tableColumn id="2" xr3:uid="{7278B439-C7B1-4866-8F0B-094790349543}" uniqueName="2" name="Máquina" queryTableFieldId="2" dataDxfId="13"/>
    <tableColumn id="3" xr3:uid="{18BFDA4C-3826-4FE7-AECC-524E16D65516}" uniqueName="3" name="Tipo de Material" queryTableFieldId="3" dataDxfId="12"/>
    <tableColumn id="4" xr3:uid="{E3414DDD-B866-406C-9337-86FBC338AFB2}" uniqueName="4" name="Qualidade" queryTableFieldId="4" dataDxfId="11"/>
    <tableColumn id="5" xr3:uid="{1FAFF295-F033-46F3-BB83-461A76ADC2F0}" uniqueName="5" name="Medidas" queryTableFieldId="5" dataDxfId="10"/>
    <tableColumn id="6" xr3:uid="{8A2ECC4D-56E8-4A2A-9C39-EBCC59679E23}" uniqueName="6" name="Quantidade" queryTableFieldId="6"/>
    <tableColumn id="7" xr3:uid="{129193EE-D8D0-4304-8FC9-3DCACBB89F77}" uniqueName="7" name="CR do Material" queryTableFieldId="7" dataDxfId="9"/>
    <tableColumn id="8" xr3:uid="{EADACC67-83CB-44C1-B286-6F11F8F4B32D}" uniqueName="8" name="Responsável Registro" queryTableFieldId="8" dataDxfId="8"/>
    <tableColumn id="9" xr3:uid="{CB2934EE-1C33-4F57-8A80-9F461118E880}" uniqueName="9" name="Observação Inicial" queryTableFieldId="9" dataDxfId="7"/>
    <tableColumn id="10" xr3:uid="{A91AE142-A083-4F68-ADF7-B84B145DB56A}" uniqueName="10" name="Data Início" queryTableFieldId="10" dataDxfId="6"/>
    <tableColumn id="11" xr3:uid="{8A9B45E3-D091-4661-B813-A55E1C66B20F}" uniqueName="11" name="Responsável Recebimento" queryTableFieldId="11" dataDxfId="5"/>
    <tableColumn id="12" xr3:uid="{62403804-405E-4A91-8CFC-89958CAA0517}" uniqueName="12" name="Observação Final" queryTableFieldId="12" dataDxfId="4"/>
    <tableColumn id="13" xr3:uid="{33BDF97F-21C7-476A-B76C-0622C34DF73C}" uniqueName="13" name="Data Recebimento" queryTableFieldId="13" dataDxfId="3"/>
    <tableColumn id="14" xr3:uid="{E4FF19DD-7CDD-4598-961C-5BF354A43463}" uniqueName="14" name="Tempo Total" queryTableFieldId="14" dataDxfId="2"/>
    <tableColumn id="15" xr3:uid="{7ABFF0B8-6C36-4224-90E2-F488B14D339A}" uniqueName="15" name="Status" queryTableFieldId="15" dataDxfId="1"/>
    <tableColumn id="16" xr3:uid="{E0FB9040-DC62-4C9B-8A1C-57392414F9E5}" uniqueName="16" name="Tempo em Minutos" queryTableFieldId="16" dataDxfId="0">
      <calculatedColumnFormula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AK77"/>
  <sheetViews>
    <sheetView showGridLines="0" tabSelected="1" workbookViewId="0">
      <selection activeCell="AG7" sqref="AG7"/>
    </sheetView>
  </sheetViews>
  <sheetFormatPr defaultRowHeight="15" x14ac:dyDescent="0.25"/>
  <cols>
    <col min="33" max="33" width="28.42578125" bestFit="1" customWidth="1"/>
    <col min="34" max="34" width="26.42578125" bestFit="1" customWidth="1"/>
    <col min="35" max="35" width="32.140625" bestFit="1" customWidth="1"/>
  </cols>
  <sheetData>
    <row r="1" spans="1:37" x14ac:dyDescent="0.25">
      <c r="A1" s="9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G1" s="14">
        <f>SUMIFS(Base_Posicoes!D:D,Base_Posicoes!E:E,"&lt;&gt;Expedição")</f>
        <v>81</v>
      </c>
      <c r="AH1" s="12"/>
      <c r="AI1" s="12"/>
      <c r="AJ1" s="12"/>
      <c r="AK1" s="12"/>
    </row>
    <row r="2" spans="1:37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G2" s="14">
        <f>SUMIFS(Base_Posicoes!D:D,Base_Posicoes!E:E,"Área de Embarque")</f>
        <v>20</v>
      </c>
      <c r="AH2" s="12"/>
      <c r="AI2" s="12"/>
      <c r="AJ2" s="12"/>
      <c r="AK2" s="12"/>
    </row>
    <row r="3" spans="1:3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G3" s="14">
        <f>COUNTIF(Base_Manutencoes!F2:F10000,"Parada")+COUNTIF(Base_Manutencoes!F2:F10000,"Em manutenção")+COUNTIF(Base_Manutencoes!F2:F10000,"Aguardando manutenção")+COUNTIF(Base_Manutencoes!F2:F10000,"Aguardando peça")</f>
        <v>1</v>
      </c>
      <c r="AH3" s="12"/>
      <c r="AI3" s="12"/>
      <c r="AJ3" s="12"/>
      <c r="AK3" s="12"/>
    </row>
    <row r="4" spans="1:37" x14ac:dyDescent="0.25">
      <c r="A4" s="8" t="s">
        <v>83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G4" s="14">
        <f>COUNTIF(Base_EsperaMaterial!O2:O10000,"Esperando material")</f>
        <v>3</v>
      </c>
      <c r="AH4" s="12"/>
      <c r="AI4" s="12"/>
      <c r="AJ4" s="12"/>
      <c r="AK4" s="12"/>
    </row>
    <row r="5" spans="1:3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G5" s="14">
        <f>COUNTIF(Base_Manutencoes!F2:F10000,"Parada")+COUNTIF(Base_Manutencoes!F2:F10000,"Em manutenção")</f>
        <v>1</v>
      </c>
      <c r="AH5" s="12"/>
      <c r="AI5" s="12"/>
      <c r="AJ5" s="12"/>
      <c r="AK5" s="12"/>
    </row>
    <row r="6" spans="1:3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G6" s="14"/>
      <c r="AH6" s="12"/>
      <c r="AI6" s="12"/>
      <c r="AJ6" s="12"/>
      <c r="AK6" s="12"/>
    </row>
    <row r="7" spans="1:3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G7" s="14"/>
      <c r="AI7" s="12"/>
      <c r="AJ7" s="12"/>
      <c r="AK7" s="12"/>
    </row>
    <row r="8" spans="1:3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G8" s="11"/>
      <c r="AH8" s="12"/>
      <c r="AI8" s="12"/>
      <c r="AJ8" s="12"/>
      <c r="AK8" s="12"/>
    </row>
    <row r="9" spans="1:3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G9" s="11"/>
      <c r="AH9" s="12"/>
      <c r="AI9" s="12"/>
      <c r="AJ9" s="12"/>
      <c r="AK9" s="12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G10" s="15"/>
      <c r="AH10" s="12"/>
      <c r="AI10" s="12"/>
      <c r="AJ10" s="12"/>
      <c r="AK10" s="12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G11" s="11"/>
      <c r="AH11" s="12"/>
      <c r="AI11" s="12"/>
      <c r="AJ11" s="12"/>
      <c r="AK11" s="12"/>
    </row>
    <row r="12" spans="1:3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G12" s="11"/>
      <c r="AH12" s="12"/>
      <c r="AI12" s="12"/>
      <c r="AJ12" s="12"/>
      <c r="AK12" s="12"/>
    </row>
    <row r="13" spans="1:3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G13" s="11"/>
      <c r="AH13" s="12"/>
      <c r="AI13" s="12"/>
      <c r="AJ13" s="12"/>
      <c r="AK13" s="12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G14" s="11"/>
      <c r="AH14" s="12"/>
      <c r="AI14" s="12"/>
      <c r="AJ14" s="12"/>
      <c r="AK14" s="12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G15" s="10"/>
    </row>
    <row r="16" spans="1:3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G16" s="10"/>
    </row>
    <row r="17" spans="1:3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G17" s="10"/>
    </row>
    <row r="18" spans="1:3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G18" s="10"/>
    </row>
    <row r="19" spans="1:3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3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3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3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3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3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3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3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3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3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3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3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3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3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</sheetData>
  <mergeCells count="2">
    <mergeCell ref="A1:AC3"/>
    <mergeCell ref="A4:AC4"/>
  </mergeCells>
  <dataValidations count="1">
    <dataValidation type="list" allowBlank="1" showInputMessage="1" showErrorMessage="1" sqref="AG7" xr:uid="{2169C90F-3C66-421C-9E40-BD0DB484B9A0}">
      <formula1>"30,60,90"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E441-66E2-4CE5-992E-3F1808DB2933}">
  <sheetPr>
    <tabColor theme="4" tint="0.79998168889431442"/>
  </sheetPr>
  <dimension ref="A1:V27"/>
  <sheetViews>
    <sheetView topLeftCell="A4" workbookViewId="0">
      <selection activeCell="F22" sqref="F22"/>
    </sheetView>
  </sheetViews>
  <sheetFormatPr defaultRowHeight="15" x14ac:dyDescent="0.25"/>
  <cols>
    <col min="1" max="1" width="17" bestFit="1" customWidth="1"/>
    <col min="2" max="2" width="19.7109375" bestFit="1" customWidth="1"/>
    <col min="3" max="3" width="32.5703125" bestFit="1" customWidth="1"/>
    <col min="11" max="11" width="12.85546875" bestFit="1" customWidth="1"/>
    <col min="12" max="12" width="19.7109375" bestFit="1" customWidth="1"/>
    <col min="21" max="21" width="14.42578125" bestFit="1" customWidth="1"/>
    <col min="22" max="22" width="19.7109375" bestFit="1" customWidth="1"/>
  </cols>
  <sheetData>
    <row r="1" spans="1:22" x14ac:dyDescent="0.25">
      <c r="A1" s="3" t="s">
        <v>4</v>
      </c>
      <c r="B1" t="s">
        <v>68</v>
      </c>
      <c r="K1" s="3" t="s">
        <v>4</v>
      </c>
      <c r="L1" t="s">
        <v>77</v>
      </c>
      <c r="U1" s="3" t="s">
        <v>5</v>
      </c>
      <c r="V1" t="s">
        <v>77</v>
      </c>
    </row>
    <row r="2" spans="1:22" x14ac:dyDescent="0.25">
      <c r="A2" s="4" t="s">
        <v>19</v>
      </c>
      <c r="B2" s="1">
        <v>1</v>
      </c>
      <c r="K2" s="4" t="s">
        <v>19</v>
      </c>
      <c r="L2" s="1">
        <v>20</v>
      </c>
      <c r="U2" s="4" t="s">
        <v>64</v>
      </c>
      <c r="V2" s="1">
        <v>20</v>
      </c>
    </row>
    <row r="3" spans="1:22" x14ac:dyDescent="0.25">
      <c r="A3" s="4" t="s">
        <v>11</v>
      </c>
      <c r="B3" s="1">
        <v>1</v>
      </c>
      <c r="K3" s="4" t="s">
        <v>11</v>
      </c>
      <c r="L3" s="1">
        <v>31</v>
      </c>
      <c r="U3" s="4" t="s">
        <v>12</v>
      </c>
      <c r="V3" s="1">
        <v>61</v>
      </c>
    </row>
    <row r="4" spans="1:22" x14ac:dyDescent="0.25">
      <c r="A4" s="4" t="s">
        <v>78</v>
      </c>
      <c r="B4" s="1">
        <v>1</v>
      </c>
      <c r="K4" s="4" t="s">
        <v>78</v>
      </c>
      <c r="L4" s="1">
        <v>30</v>
      </c>
      <c r="U4" s="4" t="s">
        <v>67</v>
      </c>
      <c r="V4" s="1">
        <v>81</v>
      </c>
    </row>
    <row r="5" spans="1:22" x14ac:dyDescent="0.25">
      <c r="A5" s="4" t="s">
        <v>67</v>
      </c>
      <c r="B5" s="1">
        <v>3</v>
      </c>
      <c r="K5" s="4" t="s">
        <v>67</v>
      </c>
      <c r="L5" s="1">
        <v>81</v>
      </c>
    </row>
    <row r="18" spans="1:3" x14ac:dyDescent="0.25">
      <c r="A18" s="3" t="s">
        <v>81</v>
      </c>
      <c r="B18" t="s">
        <v>77</v>
      </c>
      <c r="C18" t="s">
        <v>80</v>
      </c>
    </row>
    <row r="19" spans="1:3" x14ac:dyDescent="0.25">
      <c r="A19" s="4" t="s">
        <v>9</v>
      </c>
      <c r="B19" s="1">
        <v>61</v>
      </c>
      <c r="C19" s="1">
        <v>30</v>
      </c>
    </row>
    <row r="20" spans="1:3" x14ac:dyDescent="0.25">
      <c r="A20" s="5" t="s">
        <v>60</v>
      </c>
      <c r="B20" s="1">
        <v>30</v>
      </c>
      <c r="C20" s="1">
        <v>5</v>
      </c>
    </row>
    <row r="21" spans="1:3" x14ac:dyDescent="0.25">
      <c r="A21" s="6" t="s">
        <v>78</v>
      </c>
      <c r="B21" s="1">
        <v>30</v>
      </c>
      <c r="C21" s="1">
        <v>5</v>
      </c>
    </row>
    <row r="22" spans="1:3" x14ac:dyDescent="0.25">
      <c r="A22" s="5" t="s">
        <v>10</v>
      </c>
      <c r="B22" s="1">
        <v>31</v>
      </c>
      <c r="C22" s="1">
        <v>25</v>
      </c>
    </row>
    <row r="23" spans="1:3" x14ac:dyDescent="0.25">
      <c r="A23" s="6" t="s">
        <v>11</v>
      </c>
      <c r="B23" s="1">
        <v>31</v>
      </c>
      <c r="C23" s="1">
        <v>25</v>
      </c>
    </row>
    <row r="24" spans="1:3" x14ac:dyDescent="0.25">
      <c r="A24" s="4" t="s">
        <v>62</v>
      </c>
      <c r="B24" s="1">
        <v>20</v>
      </c>
      <c r="C24" s="1">
        <v>7</v>
      </c>
    </row>
    <row r="25" spans="1:3" x14ac:dyDescent="0.25">
      <c r="A25" s="5" t="s">
        <v>63</v>
      </c>
      <c r="B25" s="1">
        <v>20</v>
      </c>
      <c r="C25" s="1">
        <v>7</v>
      </c>
    </row>
    <row r="26" spans="1:3" x14ac:dyDescent="0.25">
      <c r="A26" s="6" t="s">
        <v>19</v>
      </c>
      <c r="B26" s="1">
        <v>20</v>
      </c>
      <c r="C26" s="1">
        <v>7</v>
      </c>
    </row>
    <row r="27" spans="1:3" x14ac:dyDescent="0.25">
      <c r="A27" s="4" t="s">
        <v>67</v>
      </c>
      <c r="B27" s="1">
        <v>81</v>
      </c>
      <c r="C27" s="1">
        <v>37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3252-51BE-41BE-A198-475E62073C44}">
  <sheetPr>
    <tabColor theme="4" tint="0.79998168889431442"/>
  </sheetPr>
  <dimension ref="A1:V4"/>
  <sheetViews>
    <sheetView workbookViewId="0">
      <selection activeCell="K6" sqref="K6"/>
    </sheetView>
  </sheetViews>
  <sheetFormatPr defaultRowHeight="15" x14ac:dyDescent="0.25"/>
  <cols>
    <col min="1" max="1" width="10.7109375" bestFit="1" customWidth="1"/>
    <col min="2" max="2" width="15.140625" bestFit="1" customWidth="1"/>
    <col min="11" max="11" width="18" bestFit="1" customWidth="1"/>
    <col min="12" max="12" width="26.85546875" bestFit="1" customWidth="1"/>
    <col min="21" max="21" width="18" bestFit="1" customWidth="1"/>
    <col min="22" max="22" width="27.7109375" bestFit="1" customWidth="1"/>
  </cols>
  <sheetData>
    <row r="1" spans="1:22" x14ac:dyDescent="0.25">
      <c r="A1" s="3" t="s">
        <v>23</v>
      </c>
      <c r="B1" t="s">
        <v>68</v>
      </c>
      <c r="K1" s="3" t="s">
        <v>66</v>
      </c>
      <c r="L1" t="s">
        <v>71</v>
      </c>
      <c r="U1" s="3" t="s">
        <v>66</v>
      </c>
      <c r="V1" t="s">
        <v>72</v>
      </c>
    </row>
    <row r="2" spans="1:22" x14ac:dyDescent="0.25">
      <c r="A2" s="4" t="s">
        <v>34</v>
      </c>
      <c r="B2" s="1">
        <v>1</v>
      </c>
      <c r="K2" s="4" t="s">
        <v>26</v>
      </c>
      <c r="L2" s="1">
        <v>1451</v>
      </c>
      <c r="U2" s="4" t="s">
        <v>26</v>
      </c>
      <c r="V2" s="1">
        <v>1451</v>
      </c>
    </row>
    <row r="3" spans="1:22" x14ac:dyDescent="0.25">
      <c r="A3" s="4" t="s">
        <v>30</v>
      </c>
      <c r="B3" s="1">
        <v>1</v>
      </c>
      <c r="K3" s="4" t="s">
        <v>31</v>
      </c>
      <c r="L3" s="1">
        <v>0</v>
      </c>
      <c r="U3" s="4" t="s">
        <v>31</v>
      </c>
      <c r="V3" s="1">
        <v>0</v>
      </c>
    </row>
    <row r="4" spans="1:22" x14ac:dyDescent="0.25">
      <c r="A4" s="4" t="s">
        <v>67</v>
      </c>
      <c r="B4" s="1">
        <v>2</v>
      </c>
      <c r="K4" s="4" t="s">
        <v>67</v>
      </c>
      <c r="L4" s="1">
        <v>1451</v>
      </c>
      <c r="U4" s="4" t="s">
        <v>67</v>
      </c>
      <c r="V4" s="1">
        <v>725.5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8A23-7762-4F74-A577-E74C5379F379}">
  <sheetPr>
    <tabColor theme="4" tint="0.79998168889431442"/>
  </sheetPr>
  <dimension ref="A1:V21"/>
  <sheetViews>
    <sheetView workbookViewId="0">
      <selection activeCell="L23" sqref="L23"/>
    </sheetView>
  </sheetViews>
  <sheetFormatPr defaultRowHeight="15" x14ac:dyDescent="0.25"/>
  <cols>
    <col min="1" max="1" width="12" bestFit="1" customWidth="1"/>
    <col min="2" max="2" width="15.140625" bestFit="1" customWidth="1"/>
    <col min="11" max="11" width="11.28515625" bestFit="1" customWidth="1"/>
    <col min="12" max="12" width="26.85546875" bestFit="1" customWidth="1"/>
    <col min="21" max="21" width="11.28515625" bestFit="1" customWidth="1"/>
    <col min="22" max="22" width="27.7109375" bestFit="1" customWidth="1"/>
  </cols>
  <sheetData>
    <row r="1" spans="1:22" x14ac:dyDescent="0.25">
      <c r="A1" s="3" t="s">
        <v>69</v>
      </c>
      <c r="B1" t="s">
        <v>68</v>
      </c>
      <c r="K1" s="3" t="s">
        <v>20</v>
      </c>
      <c r="L1" t="s">
        <v>71</v>
      </c>
      <c r="U1" s="3" t="s">
        <v>20</v>
      </c>
      <c r="V1" t="s">
        <v>72</v>
      </c>
    </row>
    <row r="2" spans="1:22" x14ac:dyDescent="0.25">
      <c r="A2" s="4" t="s">
        <v>19</v>
      </c>
      <c r="B2" s="1">
        <v>2</v>
      </c>
      <c r="K2" s="4" t="s">
        <v>19</v>
      </c>
      <c r="L2" s="1">
        <v>1852</v>
      </c>
      <c r="U2" s="4" t="s">
        <v>19</v>
      </c>
      <c r="V2" s="1">
        <v>926</v>
      </c>
    </row>
    <row r="3" spans="1:22" x14ac:dyDescent="0.25">
      <c r="A3" s="4" t="s">
        <v>31</v>
      </c>
      <c r="B3" s="1">
        <v>3</v>
      </c>
      <c r="K3" s="4" t="s">
        <v>31</v>
      </c>
      <c r="L3" s="1">
        <v>60</v>
      </c>
      <c r="U3" s="4" t="s">
        <v>31</v>
      </c>
      <c r="V3" s="1">
        <v>20</v>
      </c>
    </row>
    <row r="4" spans="1:22" x14ac:dyDescent="0.25">
      <c r="A4" s="4" t="s">
        <v>74</v>
      </c>
      <c r="B4" s="1">
        <v>1</v>
      </c>
      <c r="K4" s="4" t="s">
        <v>74</v>
      </c>
      <c r="L4" s="1">
        <v>392</v>
      </c>
      <c r="U4" s="4" t="s">
        <v>74</v>
      </c>
      <c r="V4" s="1">
        <v>392</v>
      </c>
    </row>
    <row r="5" spans="1:22" x14ac:dyDescent="0.25">
      <c r="A5" s="4" t="s">
        <v>67</v>
      </c>
      <c r="B5" s="1">
        <v>6</v>
      </c>
      <c r="K5" s="4" t="s">
        <v>67</v>
      </c>
      <c r="L5" s="1">
        <v>2304</v>
      </c>
      <c r="U5" s="4" t="s">
        <v>67</v>
      </c>
      <c r="V5" s="1">
        <v>384</v>
      </c>
    </row>
    <row r="16" spans="1:22" x14ac:dyDescent="0.25">
      <c r="A16" s="3" t="s">
        <v>23</v>
      </c>
      <c r="B16" t="s">
        <v>49</v>
      </c>
    </row>
    <row r="18" spans="1:2" x14ac:dyDescent="0.25">
      <c r="A18" s="3" t="s">
        <v>66</v>
      </c>
      <c r="B18" t="s">
        <v>71</v>
      </c>
    </row>
    <row r="19" spans="1:2" x14ac:dyDescent="0.25">
      <c r="A19" s="4" t="s">
        <v>19</v>
      </c>
      <c r="B19" s="1">
        <v>1852</v>
      </c>
    </row>
    <row r="20" spans="1:2" x14ac:dyDescent="0.25">
      <c r="A20" s="4" t="s">
        <v>74</v>
      </c>
      <c r="B20" s="1">
        <v>392</v>
      </c>
    </row>
    <row r="21" spans="1:2" x14ac:dyDescent="0.25">
      <c r="A21" s="4" t="s">
        <v>67</v>
      </c>
      <c r="B21" s="1">
        <v>2244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0A6B-5C0D-438F-95BA-10729EA0A8E3}">
  <sheetPr>
    <tabColor theme="9" tint="0.79998168889431442"/>
  </sheetPr>
  <dimension ref="A1:J5"/>
  <sheetViews>
    <sheetView workbookViewId="0">
      <selection activeCell="C5" sqref="C5"/>
    </sheetView>
  </sheetViews>
  <sheetFormatPr defaultRowHeight="15" x14ac:dyDescent="0.25"/>
  <cols>
    <col min="1" max="1" width="5.140625" bestFit="1" customWidth="1"/>
    <col min="2" max="2" width="7.42578125" bestFit="1" customWidth="1"/>
    <col min="3" max="3" width="10.85546875" bestFit="1" customWidth="1"/>
    <col min="4" max="4" width="13.7109375" bestFit="1" customWidth="1"/>
    <col min="5" max="5" width="17.5703125" bestFit="1" customWidth="1"/>
    <col min="6" max="6" width="14.42578125" bestFit="1" customWidth="1"/>
    <col min="7" max="7" width="13.5703125" bestFit="1" customWidth="1"/>
    <col min="8" max="8" width="15.85546875" bestFit="1" customWidth="1"/>
    <col min="9" max="9" width="23.28515625" bestFit="1" customWidth="1"/>
    <col min="10" max="10" width="26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79</v>
      </c>
    </row>
    <row r="2" spans="1:10" x14ac:dyDescent="0.25">
      <c r="A2">
        <v>4</v>
      </c>
      <c r="B2" s="1" t="s">
        <v>9</v>
      </c>
      <c r="C2" s="1" t="s">
        <v>60</v>
      </c>
      <c r="D2">
        <v>20</v>
      </c>
      <c r="E2" s="1" t="s">
        <v>84</v>
      </c>
      <c r="F2" s="1" t="s">
        <v>64</v>
      </c>
      <c r="G2" s="1" t="s">
        <v>13</v>
      </c>
      <c r="H2" s="2">
        <v>46142.674421296295</v>
      </c>
      <c r="I2" s="2">
        <v>46142.674421296295</v>
      </c>
      <c r="J2">
        <v>0</v>
      </c>
    </row>
    <row r="3" spans="1:10" x14ac:dyDescent="0.25">
      <c r="A3">
        <v>3</v>
      </c>
      <c r="B3" s="1" t="s">
        <v>9</v>
      </c>
      <c r="C3" s="1" t="s">
        <v>60</v>
      </c>
      <c r="D3">
        <v>10</v>
      </c>
      <c r="E3" s="1" t="s">
        <v>78</v>
      </c>
      <c r="F3" s="1" t="s">
        <v>12</v>
      </c>
      <c r="G3" s="1" t="s">
        <v>13</v>
      </c>
      <c r="H3" s="2">
        <v>46142.371793981481</v>
      </c>
      <c r="I3" s="2">
        <v>46142.674421296295</v>
      </c>
      <c r="J3">
        <v>0</v>
      </c>
    </row>
    <row r="4" spans="1:10" x14ac:dyDescent="0.25">
      <c r="A4">
        <v>2</v>
      </c>
      <c r="B4" s="1" t="s">
        <v>62</v>
      </c>
      <c r="C4" s="1" t="s">
        <v>63</v>
      </c>
      <c r="D4">
        <v>20</v>
      </c>
      <c r="E4" s="1" t="s">
        <v>19</v>
      </c>
      <c r="F4" s="1" t="s">
        <v>64</v>
      </c>
      <c r="G4" s="1" t="s">
        <v>13</v>
      </c>
      <c r="H4" s="2">
        <v>46142.371666666666</v>
      </c>
      <c r="I4" s="2">
        <v>46142.371666666666</v>
      </c>
      <c r="J4">
        <v>7</v>
      </c>
    </row>
    <row r="5" spans="1:10" x14ac:dyDescent="0.25">
      <c r="A5">
        <v>1</v>
      </c>
      <c r="B5" s="1" t="s">
        <v>9</v>
      </c>
      <c r="C5" s="1" t="s">
        <v>10</v>
      </c>
      <c r="D5">
        <v>31</v>
      </c>
      <c r="E5" s="1" t="s">
        <v>11</v>
      </c>
      <c r="F5" s="1" t="s">
        <v>12</v>
      </c>
      <c r="G5" s="1" t="s">
        <v>13</v>
      </c>
      <c r="H5" s="2">
        <v>46141.617303240739</v>
      </c>
      <c r="I5" s="2">
        <v>46141.621307870373</v>
      </c>
      <c r="J5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54B2-5E3B-4683-B10C-1E35B658755E}">
  <sheetPr>
    <tabColor theme="9" tint="0.79998168889431442"/>
  </sheetPr>
  <dimension ref="A1:I5"/>
  <sheetViews>
    <sheetView workbookViewId="0">
      <selection activeCell="J4" sqref="J4"/>
    </sheetView>
  </sheetViews>
  <sheetFormatPr defaultRowHeight="15" x14ac:dyDescent="0.25"/>
  <cols>
    <col min="1" max="1" width="19" bestFit="1" customWidth="1"/>
    <col min="2" max="2" width="9.42578125" bestFit="1" customWidth="1"/>
    <col min="3" max="3" width="7.42578125" bestFit="1" customWidth="1"/>
    <col min="4" max="4" width="10.85546875" bestFit="1" customWidth="1"/>
    <col min="5" max="5" width="11.28515625" bestFit="1" customWidth="1"/>
    <col min="6" max="6" width="17.5703125" bestFit="1" customWidth="1"/>
    <col min="7" max="7" width="14.42578125" bestFit="1" customWidth="1"/>
    <col min="8" max="8" width="81.140625" bestFit="1" customWidth="1"/>
    <col min="9" max="9" width="15.85546875" bestFit="1" customWidth="1"/>
  </cols>
  <sheetData>
    <row r="1" spans="1:9" x14ac:dyDescent="0.25">
      <c r="A1" t="s">
        <v>14</v>
      </c>
      <c r="B1" t="s">
        <v>15</v>
      </c>
      <c r="C1" t="s">
        <v>1</v>
      </c>
      <c r="D1" t="s">
        <v>2</v>
      </c>
      <c r="E1" t="s">
        <v>16</v>
      </c>
      <c r="F1" t="s">
        <v>17</v>
      </c>
      <c r="G1" t="s">
        <v>5</v>
      </c>
      <c r="H1" t="s">
        <v>6</v>
      </c>
      <c r="I1" t="s">
        <v>18</v>
      </c>
    </row>
    <row r="2" spans="1:9" x14ac:dyDescent="0.25">
      <c r="A2">
        <v>4</v>
      </c>
      <c r="B2">
        <v>3</v>
      </c>
      <c r="C2" s="1" t="s">
        <v>9</v>
      </c>
      <c r="D2" s="1" t="s">
        <v>60</v>
      </c>
      <c r="E2" s="1" t="s">
        <v>78</v>
      </c>
      <c r="F2" s="1" t="s">
        <v>84</v>
      </c>
      <c r="G2" s="1" t="s">
        <v>64</v>
      </c>
      <c r="H2" s="1" t="s">
        <v>85</v>
      </c>
      <c r="I2" s="2">
        <v>46142.674421296295</v>
      </c>
    </row>
    <row r="3" spans="1:9" x14ac:dyDescent="0.25">
      <c r="A3">
        <v>3</v>
      </c>
      <c r="B3">
        <v>3</v>
      </c>
      <c r="C3" s="1" t="s">
        <v>9</v>
      </c>
      <c r="D3" s="1" t="s">
        <v>60</v>
      </c>
      <c r="E3" s="1" t="s">
        <v>11</v>
      </c>
      <c r="F3" s="1" t="s">
        <v>78</v>
      </c>
      <c r="G3" s="1" t="s">
        <v>12</v>
      </c>
      <c r="H3" s="1" t="s">
        <v>13</v>
      </c>
      <c r="I3" s="2">
        <v>46142.420590277776</v>
      </c>
    </row>
    <row r="4" spans="1:9" x14ac:dyDescent="0.25">
      <c r="A4">
        <v>2</v>
      </c>
      <c r="B4">
        <v>3</v>
      </c>
      <c r="C4" s="1" t="s">
        <v>9</v>
      </c>
      <c r="D4" s="1" t="s">
        <v>60</v>
      </c>
      <c r="E4" s="1" t="s">
        <v>65</v>
      </c>
      <c r="F4" s="1" t="s">
        <v>11</v>
      </c>
      <c r="G4" s="1" t="s">
        <v>61</v>
      </c>
      <c r="H4" s="1" t="s">
        <v>13</v>
      </c>
      <c r="I4" s="2">
        <v>46142.372141203705</v>
      </c>
    </row>
    <row r="5" spans="1:9" x14ac:dyDescent="0.25">
      <c r="A5">
        <v>1</v>
      </c>
      <c r="B5">
        <v>1</v>
      </c>
      <c r="C5" s="1" t="s">
        <v>9</v>
      </c>
      <c r="D5" s="1" t="s">
        <v>10</v>
      </c>
      <c r="E5" s="1" t="s">
        <v>19</v>
      </c>
      <c r="F5" s="1" t="s">
        <v>11</v>
      </c>
      <c r="G5" s="1" t="s">
        <v>12</v>
      </c>
      <c r="H5" s="1" t="s">
        <v>13</v>
      </c>
      <c r="I5" s="2">
        <v>46141.621307870373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1C8D-FFEB-41DA-9AC1-E19A451D35D5}">
  <sheetPr>
    <tabColor theme="9" tint="0.79998168889431442"/>
  </sheetPr>
  <dimension ref="A1:J3"/>
  <sheetViews>
    <sheetView workbookViewId="0">
      <selection activeCell="H26" sqref="H26"/>
    </sheetView>
  </sheetViews>
  <sheetFormatPr defaultRowHeight="15" x14ac:dyDescent="0.25"/>
  <cols>
    <col min="1" max="1" width="5.140625" bestFit="1" customWidth="1"/>
    <col min="2" max="2" width="11.140625" bestFit="1" customWidth="1"/>
    <col min="3" max="3" width="21.7109375" bestFit="1" customWidth="1"/>
    <col min="4" max="4" width="20.42578125" bestFit="1" customWidth="1"/>
    <col min="5" max="5" width="14.42578125" bestFit="1" customWidth="1"/>
    <col min="6" max="6" width="9.5703125" bestFit="1" customWidth="1"/>
    <col min="7" max="7" width="13.5703125" bestFit="1" customWidth="1"/>
    <col min="8" max="8" width="15.85546875" bestFit="1" customWidth="1"/>
    <col min="9" max="9" width="20.140625" bestFit="1" customWidth="1"/>
    <col min="10" max="10" width="20.85546875" bestFit="1" customWidth="1"/>
  </cols>
  <sheetData>
    <row r="1" spans="1:10" x14ac:dyDescent="0.25">
      <c r="A1" t="s">
        <v>0</v>
      </c>
      <c r="B1" t="s">
        <v>20</v>
      </c>
      <c r="C1" t="s">
        <v>21</v>
      </c>
      <c r="D1" t="s">
        <v>22</v>
      </c>
      <c r="E1" t="s">
        <v>5</v>
      </c>
      <c r="F1" t="s">
        <v>23</v>
      </c>
      <c r="G1" t="s">
        <v>6</v>
      </c>
      <c r="H1" t="s">
        <v>24</v>
      </c>
      <c r="I1" t="s">
        <v>25</v>
      </c>
      <c r="J1" t="s">
        <v>70</v>
      </c>
    </row>
    <row r="2" spans="1:10" x14ac:dyDescent="0.25">
      <c r="A2">
        <v>2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13</v>
      </c>
      <c r="H2" s="2">
        <v>46141.657500000001</v>
      </c>
      <c r="I2" s="2"/>
      <c r="J2">
        <v>1464</v>
      </c>
    </row>
    <row r="3" spans="1:10" x14ac:dyDescent="0.25">
      <c r="A3">
        <v>1</v>
      </c>
      <c r="B3" s="1" t="s">
        <v>31</v>
      </c>
      <c r="C3" s="1" t="s">
        <v>27</v>
      </c>
      <c r="D3" s="1" t="s">
        <v>32</v>
      </c>
      <c r="E3" s="1" t="s">
        <v>33</v>
      </c>
      <c r="F3" s="1" t="s">
        <v>34</v>
      </c>
      <c r="G3" s="1" t="s">
        <v>13</v>
      </c>
      <c r="H3" s="2">
        <v>46141.629606481481</v>
      </c>
      <c r="I3" s="2">
        <v>46141.629872685182</v>
      </c>
      <c r="J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BF9C-67CE-48EC-A70B-54F0CE60B554}">
  <sheetPr>
    <tabColor theme="9" tint="0.79998168889431442"/>
  </sheetPr>
  <dimension ref="A1:P7"/>
  <sheetViews>
    <sheetView workbookViewId="0">
      <selection activeCell="A2" sqref="A2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18" bestFit="1" customWidth="1"/>
    <col min="4" max="4" width="12.42578125" bestFit="1" customWidth="1"/>
    <col min="5" max="5" width="11" bestFit="1" customWidth="1"/>
    <col min="6" max="6" width="13.7109375" bestFit="1" customWidth="1"/>
    <col min="7" max="7" width="16.42578125" bestFit="1" customWidth="1"/>
    <col min="8" max="8" width="22.42578125" bestFit="1" customWidth="1"/>
    <col min="9" max="9" width="19.5703125" bestFit="1" customWidth="1"/>
    <col min="10" max="10" width="15.85546875" bestFit="1" customWidth="1"/>
    <col min="11" max="11" width="27.140625" bestFit="1" customWidth="1"/>
    <col min="12" max="12" width="18.42578125" bestFit="1" customWidth="1"/>
    <col min="13" max="13" width="19.85546875" bestFit="1" customWidth="1"/>
    <col min="14" max="14" width="14.28515625" bestFit="1" customWidth="1"/>
    <col min="15" max="15" width="18.42578125" bestFit="1" customWidth="1"/>
    <col min="16" max="16" width="20.85546875" bestFit="1" customWidth="1"/>
  </cols>
  <sheetData>
    <row r="1" spans="1:16" x14ac:dyDescent="0.25">
      <c r="A1" t="s">
        <v>0</v>
      </c>
      <c r="B1" t="s">
        <v>20</v>
      </c>
      <c r="C1" t="s">
        <v>35</v>
      </c>
      <c r="D1" t="s">
        <v>36</v>
      </c>
      <c r="E1" t="s">
        <v>37</v>
      </c>
      <c r="F1" t="s">
        <v>3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23</v>
      </c>
      <c r="P1" t="s">
        <v>70</v>
      </c>
    </row>
    <row r="2" spans="1:16" x14ac:dyDescent="0.25">
      <c r="A2">
        <v>4</v>
      </c>
      <c r="B2" s="1" t="s">
        <v>19</v>
      </c>
      <c r="C2" s="1" t="s">
        <v>46</v>
      </c>
      <c r="D2" s="1" t="s">
        <v>47</v>
      </c>
      <c r="E2" s="1" t="s">
        <v>48</v>
      </c>
      <c r="F2">
        <v>20</v>
      </c>
      <c r="G2" s="1" t="s">
        <v>13</v>
      </c>
      <c r="H2" s="1" t="s">
        <v>33</v>
      </c>
      <c r="I2" s="1" t="s">
        <v>13</v>
      </c>
      <c r="J2" s="2">
        <v>46141.650891203702</v>
      </c>
      <c r="K2" s="1" t="s">
        <v>13</v>
      </c>
      <c r="L2" s="1" t="s">
        <v>13</v>
      </c>
      <c r="M2" s="2"/>
      <c r="N2" s="1" t="s">
        <v>88</v>
      </c>
      <c r="O2" s="1" t="s">
        <v>49</v>
      </c>
      <c r="P2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1473</v>
      </c>
    </row>
    <row r="3" spans="1:16" x14ac:dyDescent="0.25">
      <c r="A3">
        <v>5</v>
      </c>
      <c r="B3" s="1" t="s">
        <v>19</v>
      </c>
      <c r="C3" s="1" t="s">
        <v>46</v>
      </c>
      <c r="D3" s="1" t="s">
        <v>73</v>
      </c>
      <c r="E3" s="1" t="s">
        <v>56</v>
      </c>
      <c r="F3">
        <v>25</v>
      </c>
      <c r="G3" s="1" t="s">
        <v>13</v>
      </c>
      <c r="H3" s="1" t="s">
        <v>33</v>
      </c>
      <c r="I3" s="1" t="s">
        <v>13</v>
      </c>
      <c r="J3" s="2">
        <v>46142.392418981479</v>
      </c>
      <c r="K3" s="1" t="s">
        <v>13</v>
      </c>
      <c r="L3" s="1" t="s">
        <v>13</v>
      </c>
      <c r="M3" s="2"/>
      <c r="N3" s="1" t="s">
        <v>87</v>
      </c>
      <c r="O3" s="1" t="s">
        <v>49</v>
      </c>
      <c r="P3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406</v>
      </c>
    </row>
    <row r="4" spans="1:16" x14ac:dyDescent="0.25">
      <c r="A4">
        <v>6</v>
      </c>
      <c r="B4" s="1" t="s">
        <v>74</v>
      </c>
      <c r="C4" s="1" t="s">
        <v>75</v>
      </c>
      <c r="D4" s="1" t="s">
        <v>55</v>
      </c>
      <c r="E4" s="1" t="s">
        <v>76</v>
      </c>
      <c r="F4">
        <v>1</v>
      </c>
      <c r="G4" s="1" t="s">
        <v>13</v>
      </c>
      <c r="H4" s="1" t="s">
        <v>33</v>
      </c>
      <c r="I4" s="1" t="s">
        <v>13</v>
      </c>
      <c r="J4" s="2">
        <v>46142.392997685187</v>
      </c>
      <c r="K4" s="1" t="s">
        <v>13</v>
      </c>
      <c r="L4" s="1" t="s">
        <v>13</v>
      </c>
      <c r="M4" s="2"/>
      <c r="N4" s="1" t="s">
        <v>86</v>
      </c>
      <c r="O4" s="1" t="s">
        <v>49</v>
      </c>
      <c r="P4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405</v>
      </c>
    </row>
    <row r="5" spans="1:16" x14ac:dyDescent="0.25">
      <c r="A5">
        <v>2</v>
      </c>
      <c r="B5" s="1" t="s">
        <v>31</v>
      </c>
      <c r="C5" s="1" t="s">
        <v>46</v>
      </c>
      <c r="D5" s="1" t="s">
        <v>55</v>
      </c>
      <c r="E5" s="1" t="s">
        <v>56</v>
      </c>
      <c r="F5">
        <v>6</v>
      </c>
      <c r="G5" s="1" t="s">
        <v>57</v>
      </c>
      <c r="H5" s="1" t="s">
        <v>33</v>
      </c>
      <c r="I5" s="1" t="s">
        <v>13</v>
      </c>
      <c r="J5" s="2">
        <v>46141.610601851855</v>
      </c>
      <c r="K5" s="1" t="s">
        <v>52</v>
      </c>
      <c r="L5" s="1" t="s">
        <v>13</v>
      </c>
      <c r="M5" s="2">
        <v>46141.647476851853</v>
      </c>
      <c r="N5" s="1" t="s">
        <v>58</v>
      </c>
      <c r="O5" s="1" t="s">
        <v>54</v>
      </c>
      <c r="P5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53</v>
      </c>
    </row>
    <row r="6" spans="1:16" x14ac:dyDescent="0.25">
      <c r="A6">
        <v>1</v>
      </c>
      <c r="B6" s="1" t="s">
        <v>31</v>
      </c>
      <c r="C6" s="1" t="s">
        <v>46</v>
      </c>
      <c r="D6" s="1" t="s">
        <v>55</v>
      </c>
      <c r="E6" s="1" t="s">
        <v>50</v>
      </c>
      <c r="F6">
        <v>12</v>
      </c>
      <c r="G6" s="1" t="s">
        <v>51</v>
      </c>
      <c r="H6" s="1" t="s">
        <v>33</v>
      </c>
      <c r="I6" s="1" t="s">
        <v>13</v>
      </c>
      <c r="J6" s="2">
        <v>46141.606192129628</v>
      </c>
      <c r="K6" s="1" t="s">
        <v>52</v>
      </c>
      <c r="L6" s="1" t="s">
        <v>13</v>
      </c>
      <c r="M6" s="2">
        <v>46141.610983796294</v>
      </c>
      <c r="N6" s="1" t="s">
        <v>59</v>
      </c>
      <c r="O6" s="1" t="s">
        <v>54</v>
      </c>
      <c r="P6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6</v>
      </c>
    </row>
    <row r="7" spans="1:16" x14ac:dyDescent="0.25">
      <c r="A7">
        <v>3</v>
      </c>
      <c r="B7" s="1" t="s">
        <v>31</v>
      </c>
      <c r="C7" s="1" t="s">
        <v>46</v>
      </c>
      <c r="D7" s="1" t="s">
        <v>47</v>
      </c>
      <c r="E7" s="1" t="s">
        <v>50</v>
      </c>
      <c r="F7">
        <v>12</v>
      </c>
      <c r="G7" s="1" t="s">
        <v>51</v>
      </c>
      <c r="H7" s="1" t="s">
        <v>33</v>
      </c>
      <c r="I7" s="1" t="s">
        <v>13</v>
      </c>
      <c r="J7" s="2">
        <v>46141.630428240744</v>
      </c>
      <c r="K7" s="1" t="s">
        <v>52</v>
      </c>
      <c r="L7" s="1" t="s">
        <v>13</v>
      </c>
      <c r="M7" s="2">
        <v>46141.631284722222</v>
      </c>
      <c r="N7" s="1" t="s">
        <v>53</v>
      </c>
      <c r="O7" s="1" t="s">
        <v>54</v>
      </c>
      <c r="P7" s="1">
        <f>IF(esperas_material[[#This Row],[Tempo Total]]="",0,VALUE(LEFT(esperas_material[[#This Row],[Tempo Total]],FIND("h",esperas_material[[#This Row],[Tempo Total]])-1))*60+VALUE(MID(esperas_material[[#This Row],[Tempo Total]],FIND("h",esperas_material[[#This Row],[Tempo Total]])+2,FIND("min",esperas_material[[#This Row],[Tempo Total]])-FIND("h",esperas_material[[#This Row],[Tempo Total]])-2)))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A4ECD-3B32-46BC-AD4B-9524A1137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Rastreabilidade</vt:lpstr>
      <vt:lpstr>Manutenção</vt:lpstr>
      <vt:lpstr>Espera Material</vt:lpstr>
      <vt:lpstr>Base_Posicoes</vt:lpstr>
      <vt:lpstr>Base_Movimentacoes</vt:lpstr>
      <vt:lpstr>Base_Manutencoes</vt:lpstr>
      <vt:lpstr>Base_EsperaMaterial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 da Costa</dc:creator>
  <cp:lastModifiedBy>Pedro Fernandes da Costa</cp:lastModifiedBy>
  <dcterms:created xsi:type="dcterms:W3CDTF">2015-06-05T18:19:34Z</dcterms:created>
  <dcterms:modified xsi:type="dcterms:W3CDTF">2026-04-30T19:11:35Z</dcterms:modified>
</cp:coreProperties>
</file>